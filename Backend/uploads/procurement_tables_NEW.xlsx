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B9\EXCELCNV\fad13c90-7fe7-4120-b478-4d54a357f23e\"/>
    </mc:Choice>
  </mc:AlternateContent>
  <xr:revisionPtr revIDLastSave="349" documentId="8_{D1347B1B-9034-4825-BDA7-6EA1F5B43D3D}" xr6:coauthVersionLast="47" xr6:coauthVersionMax="47" xr10:uidLastSave="{04310220-DC35-4222-9BBB-9B169D335A62}"/>
  <bookViews>
    <workbookView xWindow="-60" yWindow="-60" windowWidth="15480" windowHeight="11640" firstSheet="4" activeTab="4" xr2:uid="{2F0DD69A-0AB6-41A0-9397-0127C5BE8B91}"/>
  </bookViews>
  <sheets>
    <sheet name="Inventory" sheetId="1" r:id="rId1"/>
    <sheet name="Invoice" sheetId="3" state="hidden" r:id="rId2"/>
    <sheet name="Invoice_2" sheetId="6" r:id="rId3"/>
    <sheet name="Order" sheetId="4" r:id="rId4"/>
    <sheet name="Shippin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4" l="1"/>
  <c r="A17" i="4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I3" i="3"/>
  <c r="I4" i="3"/>
  <c r="I5" i="3"/>
  <c r="I7" i="3"/>
  <c r="I8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" i="3"/>
  <c r="B238" i="3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B54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9" i="3" s="1"/>
  <c r="B240" i="3" l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I10" i="3"/>
  <c r="I9" i="3"/>
  <c r="I6" i="3"/>
</calcChain>
</file>

<file path=xl/sharedStrings.xml><?xml version="1.0" encoding="utf-8"?>
<sst xmlns="http://schemas.openxmlformats.org/spreadsheetml/2006/main" count="3580" uniqueCount="810">
  <si>
    <t>ProductID</t>
  </si>
  <si>
    <t>ProductName</t>
  </si>
  <si>
    <t>StockLevel</t>
  </si>
  <si>
    <t>Supplier</t>
  </si>
  <si>
    <t>LastUpdated</t>
  </si>
  <si>
    <t>PRD-9912</t>
  </si>
  <si>
    <t>Cybertruck</t>
  </si>
  <si>
    <t>Tesla</t>
  </si>
  <si>
    <t>PRD-6191</t>
  </si>
  <si>
    <t>Roadster</t>
  </si>
  <si>
    <t>PRD-4659</t>
  </si>
  <si>
    <t>Tesla Semi</t>
  </si>
  <si>
    <t>PRD-5259</t>
  </si>
  <si>
    <t>Solar Panels</t>
  </si>
  <si>
    <t>PRD-5476</t>
  </si>
  <si>
    <t>Powerwall</t>
  </si>
  <si>
    <t>PRD-1257</t>
  </si>
  <si>
    <t>Wall Connector</t>
  </si>
  <si>
    <t>PRD-4444</t>
  </si>
  <si>
    <t>Destination Charger</t>
  </si>
  <si>
    <t>PRD-8585</t>
  </si>
  <si>
    <t>Lithium-ion Battery Cells</t>
  </si>
  <si>
    <t>PRD-2792</t>
  </si>
  <si>
    <t>Autopilot Hardware Kits</t>
  </si>
  <si>
    <t>PRD-5266</t>
  </si>
  <si>
    <t>EV Accessories</t>
  </si>
  <si>
    <t>PRD-9502</t>
  </si>
  <si>
    <t>Full Self-Driving (FSD) Software License</t>
  </si>
  <si>
    <t>PRD-7772</t>
  </si>
  <si>
    <t>Tesla App Services</t>
  </si>
  <si>
    <t>PRD-8478</t>
  </si>
  <si>
    <t>Model X</t>
  </si>
  <si>
    <t>InvoiceID</t>
  </si>
  <si>
    <t>OrderID</t>
  </si>
  <si>
    <t>Buyer</t>
  </si>
  <si>
    <t>InvoiceDate</t>
  </si>
  <si>
    <t>Due Date</t>
  </si>
  <si>
    <t>Amount</t>
  </si>
  <si>
    <t>Status</t>
  </si>
  <si>
    <t>INV-48544</t>
  </si>
  <si>
    <t>ORD81581</t>
  </si>
  <si>
    <t xml:space="preserve">Wallenius Wilhelmsen’s </t>
  </si>
  <si>
    <t>Pending</t>
  </si>
  <si>
    <t>INV-83573</t>
  </si>
  <si>
    <t>MOL (Mitsui O.S.K. Lines)</t>
  </si>
  <si>
    <t>INV-45589</t>
  </si>
  <si>
    <t>COSCO Shipping</t>
  </si>
  <si>
    <t>Overdue</t>
  </si>
  <si>
    <t>INV-58699</t>
  </si>
  <si>
    <t>K Line (Kawasaki Kisen Kaisha)</t>
  </si>
  <si>
    <t>Paid</t>
  </si>
  <si>
    <t>INV-21183</t>
  </si>
  <si>
    <t xml:space="preserve">Hyundai Glovis  </t>
  </si>
  <si>
    <t>INV-97567</t>
  </si>
  <si>
    <t>GLOVIS SOLOMON</t>
  </si>
  <si>
    <t>INV-87654</t>
  </si>
  <si>
    <t>INV-98458</t>
  </si>
  <si>
    <t>1/0/1900</t>
  </si>
  <si>
    <t>INV-20578</t>
  </si>
  <si>
    <t>INV-44143</t>
  </si>
  <si>
    <t>INV-76102</t>
  </si>
  <si>
    <t>INV-16726</t>
  </si>
  <si>
    <t>INV-34822</t>
  </si>
  <si>
    <t>INV-92385</t>
  </si>
  <si>
    <t>INV-52716</t>
  </si>
  <si>
    <t>INV-40409</t>
  </si>
  <si>
    <t>INV-35451</t>
  </si>
  <si>
    <t>INV-33243</t>
  </si>
  <si>
    <t>INV-66672</t>
  </si>
  <si>
    <t>INV-61084</t>
  </si>
  <si>
    <t>INV-93110</t>
  </si>
  <si>
    <t>INV-61309</t>
  </si>
  <si>
    <t>INV-21434</t>
  </si>
  <si>
    <t>INV-20014</t>
  </si>
  <si>
    <t>INV-86837</t>
  </si>
  <si>
    <t>INV-69296</t>
  </si>
  <si>
    <t>INV-50187</t>
  </si>
  <si>
    <t>INV-94811</t>
  </si>
  <si>
    <t>INV-26218</t>
  </si>
  <si>
    <t>INV-64941</t>
  </si>
  <si>
    <t>INV-57798</t>
  </si>
  <si>
    <t>INV-12891</t>
  </si>
  <si>
    <t>INV-94810</t>
  </si>
  <si>
    <t>INV-20721</t>
  </si>
  <si>
    <t>INV-35693</t>
  </si>
  <si>
    <t>INV-54252</t>
  </si>
  <si>
    <t>INV-26259</t>
  </si>
  <si>
    <t>INV-97988</t>
  </si>
  <si>
    <t>INV-84720</t>
  </si>
  <si>
    <t>INV-32233</t>
  </si>
  <si>
    <t>INV-56423</t>
  </si>
  <si>
    <t>INV-20405</t>
  </si>
  <si>
    <t>INV-80289</t>
  </si>
  <si>
    <t>INV-67165</t>
  </si>
  <si>
    <t>INV-50825</t>
  </si>
  <si>
    <t>INV-88183</t>
  </si>
  <si>
    <t>INV-90636</t>
  </si>
  <si>
    <t>INV-92986</t>
  </si>
  <si>
    <t>INV-97720</t>
  </si>
  <si>
    <t>INV-19221</t>
  </si>
  <si>
    <t>INV-88572</t>
  </si>
  <si>
    <t>INV-26163</t>
  </si>
  <si>
    <t>INV-71161</t>
  </si>
  <si>
    <t>INV-78615</t>
  </si>
  <si>
    <t>INV-16773</t>
  </si>
  <si>
    <t>INV-77935</t>
  </si>
  <si>
    <t>INV-41248</t>
  </si>
  <si>
    <t>INV-36759</t>
  </si>
  <si>
    <t>INV-48918</t>
  </si>
  <si>
    <t>INV-75120</t>
  </si>
  <si>
    <t>INV-40983</t>
  </si>
  <si>
    <t>INV-28824</t>
  </si>
  <si>
    <t>INV-51335</t>
  </si>
  <si>
    <t>INV-81874</t>
  </si>
  <si>
    <t>INV-72476</t>
  </si>
  <si>
    <t>INV-96872</t>
  </si>
  <si>
    <t>INV-27829</t>
  </si>
  <si>
    <t>INV-82394</t>
  </si>
  <si>
    <t>INV-16898</t>
  </si>
  <si>
    <t>INV-33242</t>
  </si>
  <si>
    <t>INV-76855</t>
  </si>
  <si>
    <t>INV-94049</t>
  </si>
  <si>
    <t>INV-68874</t>
  </si>
  <si>
    <t>INV-66002</t>
  </si>
  <si>
    <t>INV-65686</t>
  </si>
  <si>
    <t>INV-55356</t>
  </si>
  <si>
    <t>INV-86388</t>
  </si>
  <si>
    <t>INV-79322</t>
  </si>
  <si>
    <t>INV-13976</t>
  </si>
  <si>
    <t>INV-83250</t>
  </si>
  <si>
    <t>INV-75910</t>
  </si>
  <si>
    <t>INV-11484</t>
  </si>
  <si>
    <t>INV-88739</t>
  </si>
  <si>
    <t>INV-17325</t>
  </si>
  <si>
    <t>INV-86602</t>
  </si>
  <si>
    <t>INV-39331</t>
  </si>
  <si>
    <t>INV-69616</t>
  </si>
  <si>
    <t>INV-15029</t>
  </si>
  <si>
    <t>INV-55163</t>
  </si>
  <si>
    <t>INV-50753</t>
  </si>
  <si>
    <t>INV-45016</t>
  </si>
  <si>
    <t>INV-97032</t>
  </si>
  <si>
    <t>INV-44151</t>
  </si>
  <si>
    <t>INV-50170</t>
  </si>
  <si>
    <t>INV-10468</t>
  </si>
  <si>
    <t>INV-10510</t>
  </si>
  <si>
    <t>INV-59468</t>
  </si>
  <si>
    <t>INV-19925</t>
  </si>
  <si>
    <t>INV-26020</t>
  </si>
  <si>
    <t>INV-90418</t>
  </si>
  <si>
    <t>INV-55558</t>
  </si>
  <si>
    <t>INV-13280</t>
  </si>
  <si>
    <t>INV-26130</t>
  </si>
  <si>
    <t>INV-83313</t>
  </si>
  <si>
    <t>INV-83211</t>
  </si>
  <si>
    <t>INV-20960</t>
  </si>
  <si>
    <t>INV-43277</t>
  </si>
  <si>
    <t>INV-25225</t>
  </si>
  <si>
    <t>INV-61240</t>
  </si>
  <si>
    <t>INV-48367</t>
  </si>
  <si>
    <t>INV-59548</t>
  </si>
  <si>
    <t>INV-35746</t>
  </si>
  <si>
    <t>INV-27282</t>
  </si>
  <si>
    <t>INV-88460</t>
  </si>
  <si>
    <t>INV-24830</t>
  </si>
  <si>
    <t>INV-33769</t>
  </si>
  <si>
    <t>INV-48709</t>
  </si>
  <si>
    <t>INV-60350</t>
  </si>
  <si>
    <t>INV-76725</t>
  </si>
  <si>
    <t>INV-55905</t>
  </si>
  <si>
    <t>INV-23956</t>
  </si>
  <si>
    <t>INV-14088</t>
  </si>
  <si>
    <t>INV-35323</t>
  </si>
  <si>
    <t>INV-20551</t>
  </si>
  <si>
    <t>INV-87861</t>
  </si>
  <si>
    <t>INV-32369</t>
  </si>
  <si>
    <t>INV-49812</t>
  </si>
  <si>
    <t>INV-11923</t>
  </si>
  <si>
    <t>INV-29085</t>
  </si>
  <si>
    <t>INV-44951</t>
  </si>
  <si>
    <t>INV-17160</t>
  </si>
  <si>
    <t>INV-44025</t>
  </si>
  <si>
    <t>INV-67550</t>
  </si>
  <si>
    <t>INV-32594</t>
  </si>
  <si>
    <t>INV-52673</t>
  </si>
  <si>
    <t>INV-28283</t>
  </si>
  <si>
    <t>INV-58364</t>
  </si>
  <si>
    <t>INV-43418</t>
  </si>
  <si>
    <t>INV-59423</t>
  </si>
  <si>
    <t>INV-70604</t>
  </si>
  <si>
    <t>INV-32382</t>
  </si>
  <si>
    <t>INV-28757</t>
  </si>
  <si>
    <t>INV-56377</t>
  </si>
  <si>
    <t>INV-66097</t>
  </si>
  <si>
    <t>INV-29549</t>
  </si>
  <si>
    <t>INV-41703</t>
  </si>
  <si>
    <t>INV-77281</t>
  </si>
  <si>
    <t>INV-75875</t>
  </si>
  <si>
    <t>INV-50994</t>
  </si>
  <si>
    <t>INV-52046</t>
  </si>
  <si>
    <t>INV-55596</t>
  </si>
  <si>
    <t>INV-58915</t>
  </si>
  <si>
    <t>INV-98948</t>
  </si>
  <si>
    <t>INV-54717</t>
  </si>
  <si>
    <t>INV-51945</t>
  </si>
  <si>
    <t>INV-82156</t>
  </si>
  <si>
    <t>INV-81169</t>
  </si>
  <si>
    <t>INV-83797</t>
  </si>
  <si>
    <t>INV-51437</t>
  </si>
  <si>
    <t>INV-17658</t>
  </si>
  <si>
    <t>INV-38874</t>
  </si>
  <si>
    <t>INV-12414</t>
  </si>
  <si>
    <t>INV-55470</t>
  </si>
  <si>
    <t>INV-54070</t>
  </si>
  <si>
    <t>INV-95717</t>
  </si>
  <si>
    <t>INV-52807</t>
  </si>
  <si>
    <t>INV-71982</t>
  </si>
  <si>
    <t>INV-92884</t>
  </si>
  <si>
    <t>INV-89333</t>
  </si>
  <si>
    <t>INV-63385</t>
  </si>
  <si>
    <t>INV-23224</t>
  </si>
  <si>
    <t>INV-80096</t>
  </si>
  <si>
    <t>INV-27739</t>
  </si>
  <si>
    <t>INV-65971</t>
  </si>
  <si>
    <t>INV-71108</t>
  </si>
  <si>
    <t>INV-45861</t>
  </si>
  <si>
    <t>INV-48719</t>
  </si>
  <si>
    <t>INV-44831</t>
  </si>
  <si>
    <t>INV-69957</t>
  </si>
  <si>
    <t>INV-36740</t>
  </si>
  <si>
    <t>INV-18833</t>
  </si>
  <si>
    <t>INV-39589</t>
  </si>
  <si>
    <t>INV-89353</t>
  </si>
  <si>
    <t>INV-32486</t>
  </si>
  <si>
    <t>INV-27366</t>
  </si>
  <si>
    <t>INV-74648</t>
  </si>
  <si>
    <t>INV-72990</t>
  </si>
  <si>
    <t>INV-46363</t>
  </si>
  <si>
    <t>INV-74488</t>
  </si>
  <si>
    <t>INV-35659</t>
  </si>
  <si>
    <t>INV-62861</t>
  </si>
  <si>
    <t>INV-83746</t>
  </si>
  <si>
    <t>INV-73815</t>
  </si>
  <si>
    <t>INV-61137</t>
  </si>
  <si>
    <t>INV-25975</t>
  </si>
  <si>
    <t>INV-11803</t>
  </si>
  <si>
    <t>INV-50805</t>
  </si>
  <si>
    <t>INV-38739</t>
  </si>
  <si>
    <t>INV-26957</t>
  </si>
  <si>
    <t>INV-65749</t>
  </si>
  <si>
    <t>INV-85127</t>
  </si>
  <si>
    <t>INV-54240</t>
  </si>
  <si>
    <t>INV-11652</t>
  </si>
  <si>
    <t>INV-97242</t>
  </si>
  <si>
    <t>INV-22516</t>
  </si>
  <si>
    <t>INV-19182</t>
  </si>
  <si>
    <t>INV-25725</t>
  </si>
  <si>
    <t>INV-54201</t>
  </si>
  <si>
    <t>INV-36747</t>
  </si>
  <si>
    <t>INV-51277</t>
  </si>
  <si>
    <t>INV-56282</t>
  </si>
  <si>
    <t>INV-69755</t>
  </si>
  <si>
    <t>INV-55105</t>
  </si>
  <si>
    <t>INV-51391</t>
  </si>
  <si>
    <t>INV-65599</t>
  </si>
  <si>
    <t>INV-42918</t>
  </si>
  <si>
    <t>INV-97456</t>
  </si>
  <si>
    <t>INV-81017</t>
  </si>
  <si>
    <t>INV-29176</t>
  </si>
  <si>
    <t>INV-96798</t>
  </si>
  <si>
    <t>INV-83874</t>
  </si>
  <si>
    <t>INV-95385</t>
  </si>
  <si>
    <t>INV-32697</t>
  </si>
  <si>
    <t>INV-14216</t>
  </si>
  <si>
    <t>INV-76025</t>
  </si>
  <si>
    <t>INV-80647</t>
  </si>
  <si>
    <t>INV-95573</t>
  </si>
  <si>
    <t>INV-44203</t>
  </si>
  <si>
    <t>INV-62312</t>
  </si>
  <si>
    <t>INV-65779</t>
  </si>
  <si>
    <t>INV-70292</t>
  </si>
  <si>
    <t>INV-17251</t>
  </si>
  <si>
    <t>INV-54563</t>
  </si>
  <si>
    <t>INV-65757</t>
  </si>
  <si>
    <t>INV-21616</t>
  </si>
  <si>
    <t>INV-31727</t>
  </si>
  <si>
    <t>INV-70555</t>
  </si>
  <si>
    <t>INV-13735</t>
  </si>
  <si>
    <t>INV-90721</t>
  </si>
  <si>
    <t>INV-66939</t>
  </si>
  <si>
    <t>INV-66188</t>
  </si>
  <si>
    <t>INV-52159</t>
  </si>
  <si>
    <t>INV-56074</t>
  </si>
  <si>
    <t>INV-39376</t>
  </si>
  <si>
    <t>INV-89269</t>
  </si>
  <si>
    <t>INV-85169</t>
  </si>
  <si>
    <t>INV-25449</t>
  </si>
  <si>
    <t>INV-63350</t>
  </si>
  <si>
    <t>INV-51909</t>
  </si>
  <si>
    <t>INV-70060</t>
  </si>
  <si>
    <t>Quantity</t>
  </si>
  <si>
    <t>DueDate</t>
  </si>
  <si>
    <t>OrderDate</t>
  </si>
  <si>
    <t>Delivered</t>
  </si>
  <si>
    <t>Cancelled</t>
  </si>
  <si>
    <t>Shipped</t>
  </si>
  <si>
    <t>ShipmentID</t>
  </si>
  <si>
    <t>ShippingDate</t>
  </si>
  <si>
    <t>DeliveryDate</t>
  </si>
  <si>
    <t>ShippingStatus</t>
  </si>
  <si>
    <t>Warehouse</t>
  </si>
  <si>
    <t>SHP-21480</t>
  </si>
  <si>
    <t>Lake Amy</t>
  </si>
  <si>
    <t>SHP-51417</t>
  </si>
  <si>
    <t>Brandytown</t>
  </si>
  <si>
    <t>SHP-11123</t>
  </si>
  <si>
    <t>Shortville</t>
  </si>
  <si>
    <t>SHP-41266</t>
  </si>
  <si>
    <t>Delayed</t>
  </si>
  <si>
    <t>Lake Nicolefurt</t>
  </si>
  <si>
    <t>SHP-90163</t>
  </si>
  <si>
    <t>In Transit</t>
  </si>
  <si>
    <t>Claytonside</t>
  </si>
  <si>
    <t>SHP-66063</t>
  </si>
  <si>
    <t>New Bradleyburgh</t>
  </si>
  <si>
    <t>SHP-35637</t>
  </si>
  <si>
    <t>Kaneville</t>
  </si>
  <si>
    <t>SHP-70836</t>
  </si>
  <si>
    <t>Josephborough</t>
  </si>
  <si>
    <t>SHP-41540</t>
  </si>
  <si>
    <t>Lake Karen</t>
  </si>
  <si>
    <t>SHP-41470</t>
  </si>
  <si>
    <t>Port Adambury</t>
  </si>
  <si>
    <t>SHP-73723</t>
  </si>
  <si>
    <t>New Michaeltown</t>
  </si>
  <si>
    <t>SHP-39642</t>
  </si>
  <si>
    <t>Port Lee</t>
  </si>
  <si>
    <t>SHP-98814</t>
  </si>
  <si>
    <t>Fowlerbury</t>
  </si>
  <si>
    <t>SHP-48980</t>
  </si>
  <si>
    <t>Deckermouth</t>
  </si>
  <si>
    <t>SHP-13609</t>
  </si>
  <si>
    <t>Lake Ashley</t>
  </si>
  <si>
    <t>SHP-83358</t>
  </si>
  <si>
    <t>Brownberg</t>
  </si>
  <si>
    <t>SHP-64933</t>
  </si>
  <si>
    <t>Zacharyborough</t>
  </si>
  <si>
    <t>SHP-10307</t>
  </si>
  <si>
    <t>West Rachelstad</t>
  </si>
  <si>
    <t>SHP-36478</t>
  </si>
  <si>
    <t>East Misty</t>
  </si>
  <si>
    <t>SHP-91184</t>
  </si>
  <si>
    <t>Markport</t>
  </si>
  <si>
    <t>SHP-12005</t>
  </si>
  <si>
    <t>Dawnview</t>
  </si>
  <si>
    <t>SHP-39486</t>
  </si>
  <si>
    <t>New Yolandaberg</t>
  </si>
  <si>
    <t>SHP-79343</t>
  </si>
  <si>
    <t>West Paula</t>
  </si>
  <si>
    <t>SHP-94241</t>
  </si>
  <si>
    <t>Davidtown</t>
  </si>
  <si>
    <t>SHP-20030</t>
  </si>
  <si>
    <t>West Julia</t>
  </si>
  <si>
    <t>SHP-68538</t>
  </si>
  <si>
    <t>Lake Sean</t>
  </si>
  <si>
    <t>SHP-13234</t>
  </si>
  <si>
    <t>Port Heather</t>
  </si>
  <si>
    <t>SHP-29339</t>
  </si>
  <si>
    <t>Port Michaelchester</t>
  </si>
  <si>
    <t>SHP-14204</t>
  </si>
  <si>
    <t>West Michael</t>
  </si>
  <si>
    <t>SHP-41794</t>
  </si>
  <si>
    <t>West Douglasborough</t>
  </si>
  <si>
    <t>SHP-22673</t>
  </si>
  <si>
    <t>North Kristinaton</t>
  </si>
  <si>
    <t>SHP-84587</t>
  </si>
  <si>
    <t>Choiview</t>
  </si>
  <si>
    <t>SHP-61323</t>
  </si>
  <si>
    <t>Brownbury</t>
  </si>
  <si>
    <t>SHP-47821</t>
  </si>
  <si>
    <t>East Samanthaberg</t>
  </si>
  <si>
    <t>SHP-19523</t>
  </si>
  <si>
    <t>Lake Susan</t>
  </si>
  <si>
    <t>SHP-87886</t>
  </si>
  <si>
    <t>Fischerbury</t>
  </si>
  <si>
    <t>SHP-60145</t>
  </si>
  <si>
    <t>Kellyhaven</t>
  </si>
  <si>
    <t>SHP-29940</t>
  </si>
  <si>
    <t>South Danielbury</t>
  </si>
  <si>
    <t>SHP-23062</t>
  </si>
  <si>
    <t>Samanthastad</t>
  </si>
  <si>
    <t>SHP-83751</t>
  </si>
  <si>
    <t>Butlertown</t>
  </si>
  <si>
    <t>SHP-97359</t>
  </si>
  <si>
    <t>Pearsonbury</t>
  </si>
  <si>
    <t>SHP-24785</t>
  </si>
  <si>
    <t>East Teresa</t>
  </si>
  <si>
    <t>SHP-44118</t>
  </si>
  <si>
    <t>South Gregory</t>
  </si>
  <si>
    <t>SHP-90355</t>
  </si>
  <si>
    <t>Kristinville</t>
  </si>
  <si>
    <t>SHP-64162</t>
  </si>
  <si>
    <t>North Andrewmouth</t>
  </si>
  <si>
    <t>SHP-35828</t>
  </si>
  <si>
    <t>East Matthewburgh</t>
  </si>
  <si>
    <t>SHP-37135</t>
  </si>
  <si>
    <t>Avilastad</t>
  </si>
  <si>
    <t>SHP-77344</t>
  </si>
  <si>
    <t>Port Andrew</t>
  </si>
  <si>
    <t>SHP-48466</t>
  </si>
  <si>
    <t>New Jeffrey</t>
  </si>
  <si>
    <t>SHP-53157</t>
  </si>
  <si>
    <t>Powersfurt</t>
  </si>
  <si>
    <t>SHP-37091</t>
  </si>
  <si>
    <t>Port Matthewshire</t>
  </si>
  <si>
    <t>SHP-77069</t>
  </si>
  <si>
    <t>Lake Kyle</t>
  </si>
  <si>
    <t>SHP-59212</t>
  </si>
  <si>
    <t>Matthewview</t>
  </si>
  <si>
    <t>SHP-32966</t>
  </si>
  <si>
    <t>Lake Claire</t>
  </si>
  <si>
    <t>SHP-47448</t>
  </si>
  <si>
    <t>New Matthewport</t>
  </si>
  <si>
    <t>SHP-81812</t>
  </si>
  <si>
    <t>Amandamouth</t>
  </si>
  <si>
    <t>SHP-71274</t>
  </si>
  <si>
    <t>New Elizabethfort</t>
  </si>
  <si>
    <t>SHP-88334</t>
  </si>
  <si>
    <t>South Thomasburgh</t>
  </si>
  <si>
    <t>SHP-85498</t>
  </si>
  <si>
    <t>Ericamouth</t>
  </si>
  <si>
    <t>SHP-23128</t>
  </si>
  <si>
    <t>Kaitlynshire</t>
  </si>
  <si>
    <t>SHP-62998</t>
  </si>
  <si>
    <t>Robertside</t>
  </si>
  <si>
    <t>SHP-87780</t>
  </si>
  <si>
    <t>Karinatown</t>
  </si>
  <si>
    <t>SHP-54522</t>
  </si>
  <si>
    <t>North Davidview</t>
  </si>
  <si>
    <t>SHP-76365</t>
  </si>
  <si>
    <t>Evansside</t>
  </si>
  <si>
    <t>SHP-10470</t>
  </si>
  <si>
    <t>South Ronaldland</t>
  </si>
  <si>
    <t>SHP-85632</t>
  </si>
  <si>
    <t>Andrewport</t>
  </si>
  <si>
    <t>SHP-80252</t>
  </si>
  <si>
    <t>North Kevinberg</t>
  </si>
  <si>
    <t>SHP-95775</t>
  </si>
  <si>
    <t>Stephanieland</t>
  </si>
  <si>
    <t>SHP-15218</t>
  </si>
  <si>
    <t>West Robintown</t>
  </si>
  <si>
    <t>SHP-13056</t>
  </si>
  <si>
    <t>Allenfort</t>
  </si>
  <si>
    <t>SHP-93981</t>
  </si>
  <si>
    <t>East Kimberlybury</t>
  </si>
  <si>
    <t>SHP-34070</t>
  </si>
  <si>
    <t>Pearsonfort</t>
  </si>
  <si>
    <t>SHP-43619</t>
  </si>
  <si>
    <t>Smithbury</t>
  </si>
  <si>
    <t>SHP-78474</t>
  </si>
  <si>
    <t>East Christine</t>
  </si>
  <si>
    <t>SHP-97269</t>
  </si>
  <si>
    <t>Thompsonhaven</t>
  </si>
  <si>
    <t>SHP-75036</t>
  </si>
  <si>
    <t>Hannahfort</t>
  </si>
  <si>
    <t>SHP-91788</t>
  </si>
  <si>
    <t>New Andrewstad</t>
  </si>
  <si>
    <t>SHP-42166</t>
  </si>
  <si>
    <t>Bonnieport</t>
  </si>
  <si>
    <t>SHP-68142</t>
  </si>
  <si>
    <t>Rodriguezside</t>
  </si>
  <si>
    <t>SHP-17832</t>
  </si>
  <si>
    <t>Bakerberg</t>
  </si>
  <si>
    <t>SHP-46573</t>
  </si>
  <si>
    <t>Brooksville</t>
  </si>
  <si>
    <t>SHP-63419</t>
  </si>
  <si>
    <t>West Daniel</t>
  </si>
  <si>
    <t>SHP-70562</t>
  </si>
  <si>
    <t>Silvatown</t>
  </si>
  <si>
    <t>SHP-15574</t>
  </si>
  <si>
    <t>South Henrytown</t>
  </si>
  <si>
    <t>SHP-89654</t>
  </si>
  <si>
    <t>Rebekahchester</t>
  </si>
  <si>
    <t>SHP-23835</t>
  </si>
  <si>
    <t>Patrickmouth</t>
  </si>
  <si>
    <t>SHP-83861</t>
  </si>
  <si>
    <t>Flemingborough</t>
  </si>
  <si>
    <t>SHP-36929</t>
  </si>
  <si>
    <t>Wuport</t>
  </si>
  <si>
    <t>SHP-73559</t>
  </si>
  <si>
    <t>Boltonberg</t>
  </si>
  <si>
    <t>SHP-92759</t>
  </si>
  <si>
    <t>Christopherberg</t>
  </si>
  <si>
    <t>SHP-49165</t>
  </si>
  <si>
    <t>Maxwellport</t>
  </si>
  <si>
    <t>SHP-25420</t>
  </si>
  <si>
    <t>Lake Christopherfort</t>
  </si>
  <si>
    <t>SHP-24882</t>
  </si>
  <si>
    <t>Meyertown</t>
  </si>
  <si>
    <t>SHP-28734</t>
  </si>
  <si>
    <t>South Douglasville</t>
  </si>
  <si>
    <t>SHP-20222</t>
  </si>
  <si>
    <t>Marshallstad</t>
  </si>
  <si>
    <t>SHP-18987</t>
  </si>
  <si>
    <t>South Joseph</t>
  </si>
  <si>
    <t>SHP-31683</t>
  </si>
  <si>
    <t>West Timothyville</t>
  </si>
  <si>
    <t>SHP-82973</t>
  </si>
  <si>
    <t>New Austin</t>
  </si>
  <si>
    <t>SHP-69962</t>
  </si>
  <si>
    <t>Annville</t>
  </si>
  <si>
    <t>SHP-50842</t>
  </si>
  <si>
    <t>New Donaldtown</t>
  </si>
  <si>
    <t>SHP-14374</t>
  </si>
  <si>
    <t>Michellemouth</t>
  </si>
  <si>
    <t>SHP-90150</t>
  </si>
  <si>
    <t>South Sandyshire</t>
  </si>
  <si>
    <t>SHP-48290</t>
  </si>
  <si>
    <t>North Toddville</t>
  </si>
  <si>
    <t>SHP-48110</t>
  </si>
  <si>
    <t>Colleenstad</t>
  </si>
  <si>
    <t>SHP-33518</t>
  </si>
  <si>
    <t>Deckerland</t>
  </si>
  <si>
    <t>SHP-32786</t>
  </si>
  <si>
    <t>Leblanchaven</t>
  </si>
  <si>
    <t>SHP-55728</t>
  </si>
  <si>
    <t>South Daniel</t>
  </si>
  <si>
    <t>SHP-36897</t>
  </si>
  <si>
    <t>Longside</t>
  </si>
  <si>
    <t>SHP-21986</t>
  </si>
  <si>
    <t>Mullinsburgh</t>
  </si>
  <si>
    <t>SHP-66808</t>
  </si>
  <si>
    <t>Joshuamouth</t>
  </si>
  <si>
    <t>SHP-69503</t>
  </si>
  <si>
    <t>New Tamara</t>
  </si>
  <si>
    <t>SHP-88002</t>
  </si>
  <si>
    <t>Zhangmouth</t>
  </si>
  <si>
    <t>SHP-51882</t>
  </si>
  <si>
    <t>West Mary</t>
  </si>
  <si>
    <t>SHP-39831</t>
  </si>
  <si>
    <t>Harringtonhaven</t>
  </si>
  <si>
    <t>SHP-36543</t>
  </si>
  <si>
    <t>Port Danielleside</t>
  </si>
  <si>
    <t>SHP-95340</t>
  </si>
  <si>
    <t>North Chelseachester</t>
  </si>
  <si>
    <t>SHP-61930</t>
  </si>
  <si>
    <t>South Angela</t>
  </si>
  <si>
    <t>SHP-23581</t>
  </si>
  <si>
    <t>Tuckerhaven</t>
  </si>
  <si>
    <t>SHP-98499</t>
  </si>
  <si>
    <t>Washingtonside</t>
  </si>
  <si>
    <t>SHP-45791</t>
  </si>
  <si>
    <t>West Jenniferhaven</t>
  </si>
  <si>
    <t>SHP-47202</t>
  </si>
  <si>
    <t>Danielberg</t>
  </si>
  <si>
    <t>SHP-82160</t>
  </si>
  <si>
    <t>Lake Kelseytown</t>
  </si>
  <si>
    <t>SHP-49817</t>
  </si>
  <si>
    <t>Moralesside</t>
  </si>
  <si>
    <t>SHP-99624</t>
  </si>
  <si>
    <t>Christensenmouth</t>
  </si>
  <si>
    <t>SHP-83392</t>
  </si>
  <si>
    <t>Jackside</t>
  </si>
  <si>
    <t>SHP-39292</t>
  </si>
  <si>
    <t>East Robert</t>
  </si>
  <si>
    <t>SHP-94282</t>
  </si>
  <si>
    <t>Larrymouth</t>
  </si>
  <si>
    <t>SHP-27292</t>
  </si>
  <si>
    <t>North Whitneyland</t>
  </si>
  <si>
    <t>SHP-25372</t>
  </si>
  <si>
    <t>Meganberg</t>
  </si>
  <si>
    <t>SHP-17616</t>
  </si>
  <si>
    <t>Stephaniefurt</t>
  </si>
  <si>
    <t>SHP-19980</t>
  </si>
  <si>
    <t>Byrdbury</t>
  </si>
  <si>
    <t>SHP-26431</t>
  </si>
  <si>
    <t>Robertsontown</t>
  </si>
  <si>
    <t>SHP-58175</t>
  </si>
  <si>
    <t>Daughertymouth</t>
  </si>
  <si>
    <t>SHP-44227</t>
  </si>
  <si>
    <t>Jessicastad</t>
  </si>
  <si>
    <t>SHP-55718</t>
  </si>
  <si>
    <t>Lake Christine</t>
  </si>
  <si>
    <t>SHP-95503</t>
  </si>
  <si>
    <t>Rothmouth</t>
  </si>
  <si>
    <t>SHP-45995</t>
  </si>
  <si>
    <t>North Richardburgh</t>
  </si>
  <si>
    <t>SHP-12906</t>
  </si>
  <si>
    <t>Fritzborough</t>
  </si>
  <si>
    <t>SHP-64892</t>
  </si>
  <si>
    <t>New Benjamin</t>
  </si>
  <si>
    <t>SHP-48240</t>
  </si>
  <si>
    <t>New Matthew</t>
  </si>
  <si>
    <t>SHP-36107</t>
  </si>
  <si>
    <t>East Alexport</t>
  </si>
  <si>
    <t>SHP-40332</t>
  </si>
  <si>
    <t>Spenceport</t>
  </si>
  <si>
    <t>SHP-80082</t>
  </si>
  <si>
    <t>Garciamouth</t>
  </si>
  <si>
    <t>SHP-10526</t>
  </si>
  <si>
    <t>Davisfurt</t>
  </si>
  <si>
    <t>SHP-62108</t>
  </si>
  <si>
    <t>South Laurabury</t>
  </si>
  <si>
    <t>SHP-33534</t>
  </si>
  <si>
    <t>Lake Allen</t>
  </si>
  <si>
    <t>SHP-42583</t>
  </si>
  <si>
    <t>Montoyaville</t>
  </si>
  <si>
    <t>SHP-15287</t>
  </si>
  <si>
    <t>Hallchester</t>
  </si>
  <si>
    <t>SHP-82587</t>
  </si>
  <si>
    <t>Lake Candice</t>
  </si>
  <si>
    <t>SHP-32140</t>
  </si>
  <si>
    <t>Blakemouth</t>
  </si>
  <si>
    <t>SHP-87816</t>
  </si>
  <si>
    <t>Lake Pamfort</t>
  </si>
  <si>
    <t>SHP-46504</t>
  </si>
  <si>
    <t>South Amy</t>
  </si>
  <si>
    <t>SHP-40366</t>
  </si>
  <si>
    <t>Amyfort</t>
  </si>
  <si>
    <t>SHP-96287</t>
  </si>
  <si>
    <t>New Jasonstad</t>
  </si>
  <si>
    <t>SHP-97214</t>
  </si>
  <si>
    <t>Beckyborough</t>
  </si>
  <si>
    <t>SHP-81216</t>
  </si>
  <si>
    <t>Scottfurt</t>
  </si>
  <si>
    <t>SHP-75109</t>
  </si>
  <si>
    <t>West Richard</t>
  </si>
  <si>
    <t>SHP-24536</t>
  </si>
  <si>
    <t>East Charles</t>
  </si>
  <si>
    <t>SHP-65009</t>
  </si>
  <si>
    <t>Manninghaven</t>
  </si>
  <si>
    <t>SHP-63671</t>
  </si>
  <si>
    <t>Wendychester</t>
  </si>
  <si>
    <t>SHP-25017</t>
  </si>
  <si>
    <t>Zacharyshire</t>
  </si>
  <si>
    <t>SHP-11301</t>
  </si>
  <si>
    <t>East Clinton</t>
  </si>
  <si>
    <t>SHP-42665</t>
  </si>
  <si>
    <t>Mejialand</t>
  </si>
  <si>
    <t>SHP-13437</t>
  </si>
  <si>
    <t>West Deniseview</t>
  </si>
  <si>
    <t>SHP-81414</t>
  </si>
  <si>
    <t>Lake Kathryn</t>
  </si>
  <si>
    <t>SHP-54050</t>
  </si>
  <si>
    <t>New Barbara</t>
  </si>
  <si>
    <t>SHP-37440</t>
  </si>
  <si>
    <t>East Andrew</t>
  </si>
  <si>
    <t>SHP-70823</t>
  </si>
  <si>
    <t>North Kevinmouth</t>
  </si>
  <si>
    <t>SHP-23564</t>
  </si>
  <si>
    <t>Stewartchester</t>
  </si>
  <si>
    <t>SHP-33448</t>
  </si>
  <si>
    <t>East Tanner</t>
  </si>
  <si>
    <t>SHP-93004</t>
  </si>
  <si>
    <t>SHP-29478</t>
  </si>
  <si>
    <t>West William</t>
  </si>
  <si>
    <t>SHP-61682</t>
  </si>
  <si>
    <t>Kevinshire</t>
  </si>
  <si>
    <t>SHP-97514</t>
  </si>
  <si>
    <t>Richardsonburgh</t>
  </si>
  <si>
    <t>SHP-82703</t>
  </si>
  <si>
    <t>West Williamfurt</t>
  </si>
  <si>
    <t>SHP-90800</t>
  </si>
  <si>
    <t>Martinfort</t>
  </si>
  <si>
    <t>SHP-39625</t>
  </si>
  <si>
    <t>Gonzalezton</t>
  </si>
  <si>
    <t>SHP-32522</t>
  </si>
  <si>
    <t>South Kathleentown</t>
  </si>
  <si>
    <t>SHP-54442</t>
  </si>
  <si>
    <t>Meyerland</t>
  </si>
  <si>
    <t>SHP-36707</t>
  </si>
  <si>
    <t>South Kristinchester</t>
  </si>
  <si>
    <t>SHP-59512</t>
  </si>
  <si>
    <t>Velezside</t>
  </si>
  <si>
    <t>SHP-85163</t>
  </si>
  <si>
    <t>West Stacey</t>
  </si>
  <si>
    <t>SHP-41992</t>
  </si>
  <si>
    <t>Port Williamburgh</t>
  </si>
  <si>
    <t>SHP-58573</t>
  </si>
  <si>
    <t>Lake Todd</t>
  </si>
  <si>
    <t>SHP-39262</t>
  </si>
  <si>
    <t>Munozside</t>
  </si>
  <si>
    <t>SHP-50828</t>
  </si>
  <si>
    <t>East Brianchester</t>
  </si>
  <si>
    <t>SHP-17666</t>
  </si>
  <si>
    <t>South Phillip</t>
  </si>
  <si>
    <t>SHP-38906</t>
  </si>
  <si>
    <t>South Chadshire</t>
  </si>
  <si>
    <t>SHP-19144</t>
  </si>
  <si>
    <t>West Eric</t>
  </si>
  <si>
    <t>SHP-16201</t>
  </si>
  <si>
    <t>West Stephenfort</t>
  </si>
  <si>
    <t>SHP-16113</t>
  </si>
  <si>
    <t>Estradaton</t>
  </si>
  <si>
    <t>SHP-97217</t>
  </si>
  <si>
    <t>Jodiborough</t>
  </si>
  <si>
    <t>SHP-10096</t>
  </si>
  <si>
    <t>Jessicachester</t>
  </si>
  <si>
    <t>SHP-64182</t>
  </si>
  <si>
    <t>East Stephanieside</t>
  </si>
  <si>
    <t>SHP-33695</t>
  </si>
  <si>
    <t>Mcmahonville</t>
  </si>
  <si>
    <t>SHP-45585</t>
  </si>
  <si>
    <t>Cindyburgh</t>
  </si>
  <si>
    <t>SHP-57706</t>
  </si>
  <si>
    <t>Wilsonbury</t>
  </si>
  <si>
    <t>SHP-87652</t>
  </si>
  <si>
    <t>Morseberg</t>
  </si>
  <si>
    <t>SHP-89703</t>
  </si>
  <si>
    <t>Keithton</t>
  </si>
  <si>
    <t>SHP-39275</t>
  </si>
  <si>
    <t>Nixonchester</t>
  </si>
  <si>
    <t>SHP-99812</t>
  </si>
  <si>
    <t>SHP-43670</t>
  </si>
  <si>
    <t>Matthewfort</t>
  </si>
  <si>
    <t>SHP-72470</t>
  </si>
  <si>
    <t>Myersport</t>
  </si>
  <si>
    <t>SHP-14316</t>
  </si>
  <si>
    <t>East Dawnfurt</t>
  </si>
  <si>
    <t>SHP-66537</t>
  </si>
  <si>
    <t>SHP-63139</t>
  </si>
  <si>
    <t>East Marcusfurt</t>
  </si>
  <si>
    <t>SHP-59388</t>
  </si>
  <si>
    <t>Kennedytown</t>
  </si>
  <si>
    <t>SHP-12795</t>
  </si>
  <si>
    <t>Lake Marktown</t>
  </si>
  <si>
    <t>SHP-67660</t>
  </si>
  <si>
    <t>Troyville</t>
  </si>
  <si>
    <t>SHP-50896</t>
  </si>
  <si>
    <t>North Debra</t>
  </si>
  <si>
    <t>SHP-90298</t>
  </si>
  <si>
    <t>New Kellyport</t>
  </si>
  <si>
    <t>SHP-57922</t>
  </si>
  <si>
    <t>Richardsonside</t>
  </si>
  <si>
    <t>SHP-23659</t>
  </si>
  <si>
    <t>Coffeyville</t>
  </si>
  <si>
    <t>SHP-17074</t>
  </si>
  <si>
    <t>Lake Kimberly</t>
  </si>
  <si>
    <t>SHP-26548</t>
  </si>
  <si>
    <t>Johnnyview</t>
  </si>
  <si>
    <t>SHP-39631</t>
  </si>
  <si>
    <t>South Shelbyville</t>
  </si>
  <si>
    <t>SHP-42103</t>
  </si>
  <si>
    <t>East Maria</t>
  </si>
  <si>
    <t>SHP-15548</t>
  </si>
  <si>
    <t>Youngborough</t>
  </si>
  <si>
    <t>SHP-83922</t>
  </si>
  <si>
    <t>Joneschester</t>
  </si>
  <si>
    <t>SHP-18626</t>
  </si>
  <si>
    <t>Lesliestad</t>
  </si>
  <si>
    <t>SHP-27221</t>
  </si>
  <si>
    <t>Bankshaven</t>
  </si>
  <si>
    <t>SHP-11429</t>
  </si>
  <si>
    <t>Dyerton</t>
  </si>
  <si>
    <t>SHP-69218</t>
  </si>
  <si>
    <t>Philipton</t>
  </si>
  <si>
    <t>SHP-27385</t>
  </si>
  <si>
    <t>South Bradley</t>
  </si>
  <si>
    <t>SHP-43732</t>
  </si>
  <si>
    <t>Philliptown</t>
  </si>
  <si>
    <t>SHP-45572</t>
  </si>
  <si>
    <t>East Michael</t>
  </si>
  <si>
    <t>SHP-48659</t>
  </si>
  <si>
    <t>Tracibury</t>
  </si>
  <si>
    <t>SHP-43356</t>
  </si>
  <si>
    <t>Johnsonmouth</t>
  </si>
  <si>
    <t>SHP-40060</t>
  </si>
  <si>
    <t>Port Andrewborough</t>
  </si>
  <si>
    <t>SHP-14308</t>
  </si>
  <si>
    <t>South Jamieville</t>
  </si>
  <si>
    <t>SHP-41724</t>
  </si>
  <si>
    <t>South Cherylshire</t>
  </si>
  <si>
    <t>SHP-99911</t>
  </si>
  <si>
    <t>South Jasonland</t>
  </si>
  <si>
    <t>SHP-63285</t>
  </si>
  <si>
    <t>New Tylerhaven</t>
  </si>
  <si>
    <t>SHP-82284</t>
  </si>
  <si>
    <t>West Chelsea</t>
  </si>
  <si>
    <t>SHP-46271</t>
  </si>
  <si>
    <t>East Mariastad</t>
  </si>
  <si>
    <t>SHP-26071</t>
  </si>
  <si>
    <t>Floresfurt</t>
  </si>
  <si>
    <t>SHP-40760</t>
  </si>
  <si>
    <t>Lake Melissashire</t>
  </si>
  <si>
    <t>SHP-10542</t>
  </si>
  <si>
    <t>Jameshaven</t>
  </si>
  <si>
    <t>SHP-63102</t>
  </si>
  <si>
    <t>Lake Meredithstad</t>
  </si>
  <si>
    <t>SHP-21798</t>
  </si>
  <si>
    <t>Debbieburgh</t>
  </si>
  <si>
    <t>SHP-88948</t>
  </si>
  <si>
    <t>South Krystal</t>
  </si>
  <si>
    <t>SHP-95311</t>
  </si>
  <si>
    <t>Brittneyburgh</t>
  </si>
  <si>
    <t>SHP-90587</t>
  </si>
  <si>
    <t>Rachelmouth</t>
  </si>
  <si>
    <t>SHP-24161</t>
  </si>
  <si>
    <t>Kellimouth</t>
  </si>
  <si>
    <t>SHP-51263</t>
  </si>
  <si>
    <t>Amyland</t>
  </si>
  <si>
    <t>SHP-31084</t>
  </si>
  <si>
    <t>South Angelamouth</t>
  </si>
  <si>
    <t>SHP-92167</t>
  </si>
  <si>
    <t>Williamsfurt</t>
  </si>
  <si>
    <t>SHP-24416</t>
  </si>
  <si>
    <t>Sancheztown</t>
  </si>
  <si>
    <t>SHP-73416</t>
  </si>
  <si>
    <t>New Donaldmouth</t>
  </si>
  <si>
    <t>SHP-51188</t>
  </si>
  <si>
    <t>Edwardstad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</si>
</sst>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34" borderId="10" xfId="0" applyFill="1" applyBorder="1"/>
    <xf numFmtId="0" fontId="0" fillId="0" borderId="0" xfId="0" applyAlignment="1">
      <alignment wrapText="1"/>
    </xf>
    <xf numFmtId="0" fontId="0" fillId="35" borderId="0" xfId="0" applyFill="1"/>
    <xf numFmtId="14" fontId="0" fillId="35" borderId="0" xfId="0" applyNumberFormat="1" applyFill="1"/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14" fontId="0" fillId="34" borderId="10" xfId="0" applyNumberForma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6" borderId="10" xfId="0" applyFill="1" applyBorder="1"/>
    <xf numFmtId="0" fontId="0" fillId="34" borderId="11" xfId="0" applyFill="1" applyBorder="1" applyAlignment="1">
      <alignment horizontal="center" vertical="center"/>
    </xf>
    <xf numFmtId="14" fontId="0" fillId="34" borderId="12" xfId="0" applyNumberFormat="1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36" borderId="11" xfId="0" applyFill="1" applyBorder="1" applyAlignment="1">
      <alignment horizontal="center" vertical="center"/>
    </xf>
    <xf numFmtId="14" fontId="0" fillId="36" borderId="10" xfId="0" applyNumberFormat="1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14" fontId="0" fillId="36" borderId="15" xfId="0" applyNumberFormat="1" applyFill="1" applyBorder="1" applyAlignment="1">
      <alignment horizontal="center" vertical="center"/>
    </xf>
    <xf numFmtId="0" fontId="0" fillId="36" borderId="15" xfId="0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0" borderId="0" xfId="0" applyFont="1"/>
    <xf numFmtId="0" fontId="0" fillId="34" borderId="16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0" fillId="34" borderId="15" xfId="0" applyFill="1" applyBorder="1"/>
    <xf numFmtId="0" fontId="0" fillId="34" borderId="18" xfId="0" applyFill="1" applyBorder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4" borderId="15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04CC-A910-4E8F-A1E5-BA8592F9A308}">
  <dimension ref="A1:G251"/>
  <sheetViews>
    <sheetView workbookViewId="0">
      <selection activeCell="C5" sqref="C5"/>
    </sheetView>
  </sheetViews>
  <sheetFormatPr defaultColWidth="22.42578125" defaultRowHeight="42" customHeight="1"/>
  <cols>
    <col min="1" max="16384" width="22.42578125" style="3"/>
  </cols>
  <sheetData>
    <row r="1" spans="1:7" customFormat="1" ht="42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</row>
    <row r="2" spans="1:7" customFormat="1" ht="42" customHeight="1">
      <c r="A2" s="6" t="s">
        <v>5</v>
      </c>
      <c r="B2" s="6" t="s">
        <v>6</v>
      </c>
      <c r="C2" s="6">
        <v>74</v>
      </c>
      <c r="D2" s="6" t="s">
        <v>7</v>
      </c>
      <c r="E2" s="7">
        <v>45346</v>
      </c>
    </row>
    <row r="3" spans="1:7" customFormat="1" ht="42" customHeight="1">
      <c r="A3" s="6" t="s">
        <v>8</v>
      </c>
      <c r="B3" s="6" t="s">
        <v>9</v>
      </c>
      <c r="C3" s="6">
        <v>305</v>
      </c>
      <c r="D3" s="6" t="s">
        <v>7</v>
      </c>
      <c r="E3" s="7">
        <v>45370</v>
      </c>
    </row>
    <row r="4" spans="1:7" customFormat="1" ht="42" customHeight="1">
      <c r="A4" s="6" t="s">
        <v>10</v>
      </c>
      <c r="B4" s="6" t="s">
        <v>11</v>
      </c>
      <c r="C4" s="6">
        <v>194</v>
      </c>
      <c r="D4" s="6" t="s">
        <v>7</v>
      </c>
      <c r="E4" s="7">
        <v>45379</v>
      </c>
    </row>
    <row r="5" spans="1:7" customFormat="1" ht="42" customHeight="1">
      <c r="A5" s="6" t="s">
        <v>12</v>
      </c>
      <c r="B5" s="6" t="s">
        <v>13</v>
      </c>
      <c r="C5" s="6">
        <v>216</v>
      </c>
      <c r="D5" s="6" t="s">
        <v>7</v>
      </c>
      <c r="E5" s="7">
        <v>45306</v>
      </c>
      <c r="G5" s="2"/>
    </row>
    <row r="6" spans="1:7" customFormat="1" ht="42" customHeight="1">
      <c r="A6" s="6" t="s">
        <v>14</v>
      </c>
      <c r="B6" s="6" t="s">
        <v>15</v>
      </c>
      <c r="C6" s="6">
        <v>265</v>
      </c>
      <c r="D6" s="6" t="s">
        <v>7</v>
      </c>
      <c r="E6" s="7">
        <v>45452</v>
      </c>
    </row>
    <row r="7" spans="1:7" customFormat="1" ht="42" customHeight="1">
      <c r="A7" s="6" t="s">
        <v>16</v>
      </c>
      <c r="B7" s="6" t="s">
        <v>17</v>
      </c>
      <c r="C7" s="6">
        <v>236</v>
      </c>
      <c r="D7" s="6" t="s">
        <v>7</v>
      </c>
      <c r="E7" s="7">
        <v>45504</v>
      </c>
    </row>
    <row r="8" spans="1:7" customFormat="1" ht="42" customHeight="1">
      <c r="A8" s="6" t="s">
        <v>18</v>
      </c>
      <c r="B8" s="6" t="s">
        <v>19</v>
      </c>
      <c r="C8" s="6">
        <v>522</v>
      </c>
      <c r="D8" s="6" t="s">
        <v>7</v>
      </c>
      <c r="E8" s="7">
        <v>45544</v>
      </c>
    </row>
    <row r="9" spans="1:7" customFormat="1" ht="42" customHeight="1">
      <c r="A9" s="6" t="s">
        <v>20</v>
      </c>
      <c r="B9" s="8" t="s">
        <v>21</v>
      </c>
      <c r="C9" s="6">
        <v>322</v>
      </c>
      <c r="D9" s="6" t="s">
        <v>7</v>
      </c>
      <c r="E9" s="7">
        <v>45475</v>
      </c>
    </row>
    <row r="10" spans="1:7" customFormat="1" ht="42" customHeight="1">
      <c r="A10" s="6" t="s">
        <v>22</v>
      </c>
      <c r="B10" s="6" t="s">
        <v>23</v>
      </c>
      <c r="C10" s="6">
        <v>750</v>
      </c>
      <c r="D10" s="6" t="s">
        <v>7</v>
      </c>
      <c r="E10" s="7">
        <v>45309</v>
      </c>
    </row>
    <row r="11" spans="1:7" customFormat="1" ht="42" customHeight="1">
      <c r="A11" s="6" t="s">
        <v>24</v>
      </c>
      <c r="B11" s="6" t="s">
        <v>25</v>
      </c>
      <c r="C11" s="6">
        <v>746</v>
      </c>
      <c r="D11" s="6" t="s">
        <v>7</v>
      </c>
      <c r="E11" s="7">
        <v>45546</v>
      </c>
    </row>
    <row r="12" spans="1:7" customFormat="1" ht="42" customHeight="1">
      <c r="A12" s="6" t="s">
        <v>26</v>
      </c>
      <c r="B12" s="8" t="s">
        <v>27</v>
      </c>
      <c r="C12" s="6">
        <v>942</v>
      </c>
      <c r="D12" s="6" t="s">
        <v>7</v>
      </c>
      <c r="E12" s="7">
        <v>45585</v>
      </c>
    </row>
    <row r="13" spans="1:7" customFormat="1" ht="42" customHeight="1">
      <c r="A13" s="6" t="s">
        <v>28</v>
      </c>
      <c r="B13" s="6" t="s">
        <v>29</v>
      </c>
      <c r="C13" s="6">
        <v>756</v>
      </c>
      <c r="D13" s="6" t="s">
        <v>7</v>
      </c>
      <c r="E13" s="7">
        <v>45314</v>
      </c>
    </row>
    <row r="14" spans="1:7" customFormat="1" ht="42" customHeight="1">
      <c r="A14" s="6" t="s">
        <v>30</v>
      </c>
      <c r="B14" s="6" t="s">
        <v>31</v>
      </c>
      <c r="C14" s="6">
        <v>493</v>
      </c>
      <c r="D14" s="6" t="s">
        <v>7</v>
      </c>
      <c r="E14" s="7">
        <v>45534</v>
      </c>
    </row>
    <row r="15" spans="1:7" ht="42" customHeight="1">
      <c r="E15" s="4"/>
    </row>
    <row r="16" spans="1:7" ht="42" customHeight="1">
      <c r="E16" s="4"/>
    </row>
    <row r="17" spans="5:5" ht="42" customHeight="1">
      <c r="E17" s="4"/>
    </row>
    <row r="18" spans="5:5" ht="42" customHeight="1">
      <c r="E18" s="4"/>
    </row>
    <row r="19" spans="5:5" ht="42" customHeight="1">
      <c r="E19" s="4"/>
    </row>
    <row r="20" spans="5:5" ht="42" customHeight="1">
      <c r="E20" s="4"/>
    </row>
    <row r="21" spans="5:5" ht="42" customHeight="1">
      <c r="E21" s="4"/>
    </row>
    <row r="22" spans="5:5" ht="42" customHeight="1">
      <c r="E22" s="4"/>
    </row>
    <row r="23" spans="5:5" ht="42" customHeight="1">
      <c r="E23" s="4"/>
    </row>
    <row r="24" spans="5:5" ht="42" customHeight="1">
      <c r="E24" s="4"/>
    </row>
    <row r="25" spans="5:5" ht="42" customHeight="1">
      <c r="E25" s="4"/>
    </row>
    <row r="26" spans="5:5" ht="42" customHeight="1">
      <c r="E26" s="4"/>
    </row>
    <row r="27" spans="5:5" ht="42" customHeight="1">
      <c r="E27" s="4"/>
    </row>
    <row r="28" spans="5:5" ht="42" customHeight="1">
      <c r="E28" s="4"/>
    </row>
    <row r="29" spans="5:5" ht="42" customHeight="1">
      <c r="E29" s="4"/>
    </row>
    <row r="30" spans="5:5" ht="42" customHeight="1">
      <c r="E30" s="4"/>
    </row>
    <row r="31" spans="5:5" ht="42" customHeight="1">
      <c r="E31" s="4"/>
    </row>
    <row r="32" spans="5:5" ht="42" customHeight="1">
      <c r="E32" s="4"/>
    </row>
    <row r="33" spans="5:5" ht="42" customHeight="1">
      <c r="E33" s="4"/>
    </row>
    <row r="34" spans="5:5" ht="42" customHeight="1">
      <c r="E34" s="4"/>
    </row>
    <row r="35" spans="5:5" ht="42" customHeight="1">
      <c r="E35" s="4"/>
    </row>
    <row r="36" spans="5:5" ht="42" customHeight="1">
      <c r="E36" s="4"/>
    </row>
    <row r="37" spans="5:5" ht="42" customHeight="1">
      <c r="E37" s="4"/>
    </row>
    <row r="38" spans="5:5" ht="42" customHeight="1">
      <c r="E38" s="4"/>
    </row>
    <row r="39" spans="5:5" ht="42" customHeight="1">
      <c r="E39" s="4"/>
    </row>
    <row r="40" spans="5:5" ht="42" customHeight="1">
      <c r="E40" s="4"/>
    </row>
    <row r="41" spans="5:5" ht="42" customHeight="1">
      <c r="E41" s="4"/>
    </row>
    <row r="42" spans="5:5" ht="42" customHeight="1">
      <c r="E42" s="4"/>
    </row>
    <row r="43" spans="5:5" ht="42" customHeight="1">
      <c r="E43" s="4"/>
    </row>
    <row r="44" spans="5:5" ht="42" customHeight="1">
      <c r="E44" s="4"/>
    </row>
    <row r="45" spans="5:5" ht="42" customHeight="1">
      <c r="E45" s="4"/>
    </row>
    <row r="46" spans="5:5" ht="42" customHeight="1">
      <c r="E46" s="4"/>
    </row>
    <row r="47" spans="5:5" ht="42" customHeight="1">
      <c r="E47" s="4"/>
    </row>
    <row r="48" spans="5:5" ht="42" customHeight="1">
      <c r="E48" s="4"/>
    </row>
    <row r="49" spans="5:5" ht="42" customHeight="1">
      <c r="E49" s="4"/>
    </row>
    <row r="50" spans="5:5" ht="42" customHeight="1">
      <c r="E50" s="4"/>
    </row>
    <row r="51" spans="5:5" ht="42" customHeight="1">
      <c r="E51" s="4"/>
    </row>
    <row r="52" spans="5:5" ht="42" customHeight="1">
      <c r="E52" s="4"/>
    </row>
    <row r="53" spans="5:5" ht="42" customHeight="1">
      <c r="E53" s="4"/>
    </row>
    <row r="54" spans="5:5" ht="42" customHeight="1">
      <c r="E54" s="4"/>
    </row>
    <row r="55" spans="5:5" ht="42" customHeight="1">
      <c r="E55" s="4"/>
    </row>
    <row r="56" spans="5:5" ht="42" customHeight="1">
      <c r="E56" s="4"/>
    </row>
    <row r="57" spans="5:5" ht="42" customHeight="1">
      <c r="E57" s="4"/>
    </row>
    <row r="58" spans="5:5" ht="42" customHeight="1">
      <c r="E58" s="4"/>
    </row>
    <row r="59" spans="5:5" ht="42" customHeight="1">
      <c r="E59" s="4"/>
    </row>
    <row r="60" spans="5:5" ht="42" customHeight="1">
      <c r="E60" s="4"/>
    </row>
    <row r="61" spans="5:5" ht="42" customHeight="1">
      <c r="E61" s="4"/>
    </row>
    <row r="62" spans="5:5" ht="42" customHeight="1">
      <c r="E62" s="4"/>
    </row>
    <row r="63" spans="5:5" ht="42" customHeight="1">
      <c r="E63" s="4"/>
    </row>
    <row r="64" spans="5:5" ht="42" customHeight="1">
      <c r="E64" s="4"/>
    </row>
    <row r="65" spans="5:5" ht="42" customHeight="1">
      <c r="E65" s="4"/>
    </row>
    <row r="66" spans="5:5" ht="42" customHeight="1">
      <c r="E66" s="4"/>
    </row>
    <row r="67" spans="5:5" ht="42" customHeight="1">
      <c r="E67" s="4"/>
    </row>
    <row r="68" spans="5:5" ht="42" customHeight="1">
      <c r="E68" s="4"/>
    </row>
    <row r="69" spans="5:5" ht="42" customHeight="1">
      <c r="E69" s="4"/>
    </row>
    <row r="70" spans="5:5" ht="42" customHeight="1">
      <c r="E70" s="4"/>
    </row>
    <row r="71" spans="5:5" ht="42" customHeight="1">
      <c r="E71" s="4"/>
    </row>
    <row r="72" spans="5:5" ht="42" customHeight="1">
      <c r="E72" s="4"/>
    </row>
    <row r="73" spans="5:5" ht="42" customHeight="1">
      <c r="E73" s="4"/>
    </row>
    <row r="74" spans="5:5" ht="42" customHeight="1">
      <c r="E74" s="4"/>
    </row>
    <row r="75" spans="5:5" ht="42" customHeight="1">
      <c r="E75" s="4"/>
    </row>
    <row r="76" spans="5:5" ht="42" customHeight="1">
      <c r="E76" s="4"/>
    </row>
    <row r="77" spans="5:5" ht="42" customHeight="1">
      <c r="E77" s="4"/>
    </row>
    <row r="78" spans="5:5" ht="42" customHeight="1">
      <c r="E78" s="4"/>
    </row>
    <row r="79" spans="5:5" ht="42" customHeight="1">
      <c r="E79" s="4"/>
    </row>
    <row r="80" spans="5:5" ht="42" customHeight="1">
      <c r="E80" s="4"/>
    </row>
    <row r="81" spans="5:5" ht="42" customHeight="1">
      <c r="E81" s="4"/>
    </row>
    <row r="82" spans="5:5" ht="42" customHeight="1">
      <c r="E82" s="4"/>
    </row>
    <row r="83" spans="5:5" ht="42" customHeight="1">
      <c r="E83" s="4"/>
    </row>
    <row r="84" spans="5:5" ht="42" customHeight="1">
      <c r="E84" s="4"/>
    </row>
    <row r="85" spans="5:5" ht="42" customHeight="1">
      <c r="E85" s="4"/>
    </row>
    <row r="86" spans="5:5" ht="42" customHeight="1">
      <c r="E86" s="4"/>
    </row>
    <row r="87" spans="5:5" ht="42" customHeight="1">
      <c r="E87" s="4"/>
    </row>
    <row r="88" spans="5:5" ht="42" customHeight="1">
      <c r="E88" s="4"/>
    </row>
    <row r="89" spans="5:5" ht="42" customHeight="1">
      <c r="E89" s="4"/>
    </row>
    <row r="90" spans="5:5" ht="42" customHeight="1">
      <c r="E90" s="4"/>
    </row>
    <row r="91" spans="5:5" ht="42" customHeight="1">
      <c r="E91" s="4"/>
    </row>
    <row r="92" spans="5:5" ht="42" customHeight="1">
      <c r="E92" s="4"/>
    </row>
    <row r="93" spans="5:5" ht="42" customHeight="1">
      <c r="E93" s="4"/>
    </row>
    <row r="94" spans="5:5" ht="42" customHeight="1">
      <c r="E94" s="4"/>
    </row>
    <row r="95" spans="5:5" ht="42" customHeight="1">
      <c r="E95" s="4"/>
    </row>
    <row r="96" spans="5:5" ht="42" customHeight="1">
      <c r="E96" s="4"/>
    </row>
    <row r="97" spans="5:5" ht="42" customHeight="1">
      <c r="E97" s="4"/>
    </row>
    <row r="98" spans="5:5" ht="42" customHeight="1">
      <c r="E98" s="4"/>
    </row>
    <row r="99" spans="5:5" ht="42" customHeight="1">
      <c r="E99" s="4"/>
    </row>
    <row r="100" spans="5:5" ht="42" customHeight="1">
      <c r="E100" s="4"/>
    </row>
    <row r="101" spans="5:5" ht="42" customHeight="1">
      <c r="E101" s="4"/>
    </row>
    <row r="102" spans="5:5" ht="42" customHeight="1">
      <c r="E102" s="4"/>
    </row>
    <row r="103" spans="5:5" ht="42" customHeight="1">
      <c r="E103" s="4"/>
    </row>
    <row r="104" spans="5:5" ht="42" customHeight="1">
      <c r="E104" s="4"/>
    </row>
    <row r="105" spans="5:5" ht="42" customHeight="1">
      <c r="E105" s="4"/>
    </row>
    <row r="106" spans="5:5" ht="42" customHeight="1">
      <c r="E106" s="4"/>
    </row>
    <row r="107" spans="5:5" ht="42" customHeight="1">
      <c r="E107" s="4"/>
    </row>
    <row r="108" spans="5:5" ht="42" customHeight="1">
      <c r="E108" s="4"/>
    </row>
    <row r="109" spans="5:5" ht="42" customHeight="1">
      <c r="E109" s="4"/>
    </row>
    <row r="110" spans="5:5" ht="42" customHeight="1">
      <c r="E110" s="4"/>
    </row>
    <row r="111" spans="5:5" ht="42" customHeight="1">
      <c r="E111" s="4"/>
    </row>
    <row r="112" spans="5:5" ht="42" customHeight="1">
      <c r="E112" s="4"/>
    </row>
    <row r="113" spans="5:5" ht="42" customHeight="1">
      <c r="E113" s="4"/>
    </row>
    <row r="114" spans="5:5" ht="42" customHeight="1">
      <c r="E114" s="4"/>
    </row>
    <row r="115" spans="5:5" ht="42" customHeight="1">
      <c r="E115" s="4"/>
    </row>
    <row r="116" spans="5:5" ht="42" customHeight="1">
      <c r="E116" s="4"/>
    </row>
    <row r="117" spans="5:5" ht="42" customHeight="1">
      <c r="E117" s="4"/>
    </row>
    <row r="118" spans="5:5" ht="42" customHeight="1">
      <c r="E118" s="4"/>
    </row>
    <row r="119" spans="5:5" ht="42" customHeight="1">
      <c r="E119" s="4"/>
    </row>
    <row r="120" spans="5:5" ht="42" customHeight="1">
      <c r="E120" s="4"/>
    </row>
    <row r="121" spans="5:5" ht="42" customHeight="1">
      <c r="E121" s="4"/>
    </row>
    <row r="122" spans="5:5" ht="42" customHeight="1">
      <c r="E122" s="4"/>
    </row>
    <row r="123" spans="5:5" ht="42" customHeight="1">
      <c r="E123" s="4"/>
    </row>
    <row r="124" spans="5:5" ht="42" customHeight="1">
      <c r="E124" s="4"/>
    </row>
    <row r="125" spans="5:5" ht="42" customHeight="1">
      <c r="E125" s="4"/>
    </row>
    <row r="126" spans="5:5" ht="42" customHeight="1">
      <c r="E126" s="4"/>
    </row>
    <row r="127" spans="5:5" ht="42" customHeight="1">
      <c r="E127" s="4"/>
    </row>
    <row r="128" spans="5:5" ht="42" customHeight="1">
      <c r="E128" s="4"/>
    </row>
    <row r="129" spans="5:5" ht="42" customHeight="1">
      <c r="E129" s="4"/>
    </row>
    <row r="130" spans="5:5" ht="42" customHeight="1">
      <c r="E130" s="4"/>
    </row>
    <row r="131" spans="5:5" ht="42" customHeight="1">
      <c r="E131" s="4"/>
    </row>
    <row r="132" spans="5:5" ht="42" customHeight="1">
      <c r="E132" s="4"/>
    </row>
    <row r="133" spans="5:5" ht="42" customHeight="1">
      <c r="E133" s="4"/>
    </row>
    <row r="134" spans="5:5" ht="42" customHeight="1">
      <c r="E134" s="4"/>
    </row>
    <row r="135" spans="5:5" ht="42" customHeight="1">
      <c r="E135" s="4"/>
    </row>
    <row r="136" spans="5:5" ht="42" customHeight="1">
      <c r="E136" s="4"/>
    </row>
    <row r="137" spans="5:5" ht="42" customHeight="1">
      <c r="E137" s="4"/>
    </row>
    <row r="138" spans="5:5" ht="42" customHeight="1">
      <c r="E138" s="4"/>
    </row>
    <row r="139" spans="5:5" ht="42" customHeight="1">
      <c r="E139" s="4"/>
    </row>
    <row r="140" spans="5:5" ht="42" customHeight="1">
      <c r="E140" s="4"/>
    </row>
    <row r="141" spans="5:5" ht="42" customHeight="1">
      <c r="E141" s="4"/>
    </row>
    <row r="142" spans="5:5" ht="42" customHeight="1">
      <c r="E142" s="4"/>
    </row>
    <row r="143" spans="5:5" ht="42" customHeight="1">
      <c r="E143" s="4"/>
    </row>
    <row r="144" spans="5:5" ht="42" customHeight="1">
      <c r="E144" s="4"/>
    </row>
    <row r="145" spans="5:5" ht="42" customHeight="1">
      <c r="E145" s="4"/>
    </row>
    <row r="146" spans="5:5" ht="42" customHeight="1">
      <c r="E146" s="4"/>
    </row>
    <row r="147" spans="5:5" ht="42" customHeight="1">
      <c r="E147" s="4"/>
    </row>
    <row r="148" spans="5:5" ht="42" customHeight="1">
      <c r="E148" s="4"/>
    </row>
    <row r="149" spans="5:5" ht="42" customHeight="1">
      <c r="E149" s="4"/>
    </row>
    <row r="150" spans="5:5" ht="42" customHeight="1">
      <c r="E150" s="4"/>
    </row>
    <row r="151" spans="5:5" ht="42" customHeight="1">
      <c r="E151" s="4"/>
    </row>
    <row r="152" spans="5:5" ht="42" customHeight="1">
      <c r="E152" s="4"/>
    </row>
    <row r="153" spans="5:5" ht="42" customHeight="1">
      <c r="E153" s="4"/>
    </row>
    <row r="154" spans="5:5" ht="42" customHeight="1">
      <c r="E154" s="4"/>
    </row>
    <row r="155" spans="5:5" ht="42" customHeight="1">
      <c r="E155" s="4"/>
    </row>
    <row r="156" spans="5:5" ht="42" customHeight="1">
      <c r="E156" s="4"/>
    </row>
    <row r="157" spans="5:5" ht="42" customHeight="1">
      <c r="E157" s="4"/>
    </row>
    <row r="158" spans="5:5" ht="42" customHeight="1">
      <c r="E158" s="4"/>
    </row>
    <row r="159" spans="5:5" ht="42" customHeight="1">
      <c r="E159" s="4"/>
    </row>
    <row r="160" spans="5:5" ht="42" customHeight="1">
      <c r="E160" s="4"/>
    </row>
    <row r="161" spans="5:5" ht="42" customHeight="1">
      <c r="E161" s="4"/>
    </row>
    <row r="162" spans="5:5" ht="42" customHeight="1">
      <c r="E162" s="4"/>
    </row>
    <row r="163" spans="5:5" ht="42" customHeight="1">
      <c r="E163" s="4"/>
    </row>
    <row r="164" spans="5:5" ht="42" customHeight="1">
      <c r="E164" s="4"/>
    </row>
    <row r="165" spans="5:5" ht="42" customHeight="1">
      <c r="E165" s="4"/>
    </row>
    <row r="166" spans="5:5" ht="42" customHeight="1">
      <c r="E166" s="4"/>
    </row>
    <row r="167" spans="5:5" ht="42" customHeight="1">
      <c r="E167" s="4"/>
    </row>
    <row r="168" spans="5:5" ht="42" customHeight="1">
      <c r="E168" s="4"/>
    </row>
    <row r="169" spans="5:5" ht="42" customHeight="1">
      <c r="E169" s="4"/>
    </row>
    <row r="170" spans="5:5" ht="42" customHeight="1">
      <c r="E170" s="4"/>
    </row>
    <row r="171" spans="5:5" ht="42" customHeight="1">
      <c r="E171" s="4"/>
    </row>
    <row r="172" spans="5:5" ht="42" customHeight="1">
      <c r="E172" s="4"/>
    </row>
    <row r="173" spans="5:5" ht="42" customHeight="1">
      <c r="E173" s="4"/>
    </row>
    <row r="174" spans="5:5" ht="42" customHeight="1">
      <c r="E174" s="4"/>
    </row>
    <row r="175" spans="5:5" ht="42" customHeight="1">
      <c r="E175" s="4"/>
    </row>
    <row r="176" spans="5:5" ht="42" customHeight="1">
      <c r="E176" s="4"/>
    </row>
    <row r="177" spans="5:5" ht="42" customHeight="1">
      <c r="E177" s="4"/>
    </row>
    <row r="178" spans="5:5" ht="42" customHeight="1">
      <c r="E178" s="4"/>
    </row>
    <row r="179" spans="5:5" ht="42" customHeight="1">
      <c r="E179" s="4"/>
    </row>
    <row r="180" spans="5:5" ht="42" customHeight="1">
      <c r="E180" s="4"/>
    </row>
    <row r="181" spans="5:5" ht="42" customHeight="1">
      <c r="E181" s="4"/>
    </row>
    <row r="182" spans="5:5" ht="42" customHeight="1">
      <c r="E182" s="4"/>
    </row>
    <row r="183" spans="5:5" ht="42" customHeight="1">
      <c r="E183" s="4"/>
    </row>
    <row r="184" spans="5:5" ht="42" customHeight="1">
      <c r="E184" s="4"/>
    </row>
    <row r="185" spans="5:5" ht="42" customHeight="1">
      <c r="E185" s="4"/>
    </row>
    <row r="186" spans="5:5" ht="42" customHeight="1">
      <c r="E186" s="4"/>
    </row>
    <row r="187" spans="5:5" ht="42" customHeight="1">
      <c r="E187" s="4"/>
    </row>
    <row r="188" spans="5:5" ht="42" customHeight="1">
      <c r="E188" s="4"/>
    </row>
    <row r="189" spans="5:5" ht="42" customHeight="1">
      <c r="E189" s="4"/>
    </row>
    <row r="190" spans="5:5" ht="42" customHeight="1">
      <c r="E190" s="4"/>
    </row>
    <row r="191" spans="5:5" ht="42" customHeight="1">
      <c r="E191" s="4"/>
    </row>
    <row r="192" spans="5:5" ht="42" customHeight="1">
      <c r="E192" s="4"/>
    </row>
    <row r="193" spans="5:5" ht="42" customHeight="1">
      <c r="E193" s="4"/>
    </row>
    <row r="194" spans="5:5" ht="42" customHeight="1">
      <c r="E194" s="4"/>
    </row>
    <row r="195" spans="5:5" ht="42" customHeight="1">
      <c r="E195" s="4"/>
    </row>
    <row r="196" spans="5:5" ht="42" customHeight="1">
      <c r="E196" s="4"/>
    </row>
    <row r="197" spans="5:5" ht="42" customHeight="1">
      <c r="E197" s="4"/>
    </row>
    <row r="198" spans="5:5" ht="42" customHeight="1">
      <c r="E198" s="4"/>
    </row>
    <row r="199" spans="5:5" ht="42" customHeight="1">
      <c r="E199" s="4"/>
    </row>
    <row r="200" spans="5:5" ht="42" customHeight="1">
      <c r="E200" s="4"/>
    </row>
    <row r="201" spans="5:5" ht="42" customHeight="1">
      <c r="E201" s="4"/>
    </row>
    <row r="202" spans="5:5" ht="42" customHeight="1">
      <c r="E202" s="4"/>
    </row>
    <row r="203" spans="5:5" ht="42" customHeight="1">
      <c r="E203" s="4"/>
    </row>
    <row r="204" spans="5:5" ht="42" customHeight="1">
      <c r="E204" s="4"/>
    </row>
    <row r="205" spans="5:5" ht="42" customHeight="1">
      <c r="E205" s="4"/>
    </row>
    <row r="206" spans="5:5" ht="42" customHeight="1">
      <c r="E206" s="4"/>
    </row>
    <row r="207" spans="5:5" ht="42" customHeight="1">
      <c r="E207" s="4"/>
    </row>
    <row r="208" spans="5:5" ht="42" customHeight="1">
      <c r="E208" s="4"/>
    </row>
    <row r="209" spans="5:5" ht="42" customHeight="1">
      <c r="E209" s="4"/>
    </row>
    <row r="210" spans="5:5" ht="42" customHeight="1">
      <c r="E210" s="4"/>
    </row>
    <row r="211" spans="5:5" ht="42" customHeight="1">
      <c r="E211" s="4"/>
    </row>
    <row r="212" spans="5:5" ht="42" customHeight="1">
      <c r="E212" s="4"/>
    </row>
    <row r="213" spans="5:5" ht="42" customHeight="1">
      <c r="E213" s="4"/>
    </row>
    <row r="214" spans="5:5" ht="42" customHeight="1">
      <c r="E214" s="4"/>
    </row>
    <row r="215" spans="5:5" ht="42" customHeight="1">
      <c r="E215" s="4"/>
    </row>
    <row r="216" spans="5:5" ht="42" customHeight="1">
      <c r="E216" s="4"/>
    </row>
    <row r="217" spans="5:5" ht="42" customHeight="1">
      <c r="E217" s="4"/>
    </row>
    <row r="218" spans="5:5" ht="42" customHeight="1">
      <c r="E218" s="4"/>
    </row>
    <row r="219" spans="5:5" ht="42" customHeight="1">
      <c r="E219" s="4"/>
    </row>
    <row r="220" spans="5:5" ht="42" customHeight="1">
      <c r="E220" s="4"/>
    </row>
    <row r="221" spans="5:5" ht="42" customHeight="1">
      <c r="E221" s="4"/>
    </row>
    <row r="222" spans="5:5" ht="42" customHeight="1">
      <c r="E222" s="4"/>
    </row>
    <row r="223" spans="5:5" ht="42" customHeight="1">
      <c r="E223" s="4"/>
    </row>
    <row r="224" spans="5:5" ht="42" customHeight="1">
      <c r="E224" s="4"/>
    </row>
    <row r="225" spans="5:5" ht="42" customHeight="1">
      <c r="E225" s="4"/>
    </row>
    <row r="226" spans="5:5" ht="42" customHeight="1">
      <c r="E226" s="4"/>
    </row>
    <row r="227" spans="5:5" ht="42" customHeight="1">
      <c r="E227" s="4"/>
    </row>
    <row r="228" spans="5:5" ht="42" customHeight="1">
      <c r="E228" s="4"/>
    </row>
    <row r="229" spans="5:5" ht="42" customHeight="1">
      <c r="E229" s="4"/>
    </row>
    <row r="230" spans="5:5" ht="42" customHeight="1">
      <c r="E230" s="4"/>
    </row>
    <row r="231" spans="5:5" ht="42" customHeight="1">
      <c r="E231" s="4"/>
    </row>
    <row r="232" spans="5:5" ht="42" customHeight="1">
      <c r="E232" s="4"/>
    </row>
    <row r="233" spans="5:5" ht="42" customHeight="1">
      <c r="E233" s="4"/>
    </row>
    <row r="234" spans="5:5" ht="42" customHeight="1">
      <c r="E234" s="4"/>
    </row>
    <row r="235" spans="5:5" ht="42" customHeight="1">
      <c r="E235" s="4"/>
    </row>
    <row r="236" spans="5:5" ht="42" customHeight="1">
      <c r="E236" s="4"/>
    </row>
    <row r="237" spans="5:5" ht="42" customHeight="1">
      <c r="E237" s="4"/>
    </row>
    <row r="238" spans="5:5" ht="42" customHeight="1">
      <c r="E238" s="4"/>
    </row>
    <row r="239" spans="5:5" ht="42" customHeight="1">
      <c r="E239" s="4"/>
    </row>
    <row r="240" spans="5:5" ht="42" customHeight="1">
      <c r="E240" s="4"/>
    </row>
    <row r="241" spans="5:5" ht="42" customHeight="1">
      <c r="E241" s="4"/>
    </row>
    <row r="242" spans="5:5" ht="42" customHeight="1">
      <c r="E242" s="4"/>
    </row>
    <row r="243" spans="5:5" ht="42" customHeight="1">
      <c r="E243" s="4"/>
    </row>
    <row r="244" spans="5:5" ht="42" customHeight="1">
      <c r="E244" s="4"/>
    </row>
    <row r="245" spans="5:5" ht="42" customHeight="1">
      <c r="E245" s="4"/>
    </row>
    <row r="246" spans="5:5" ht="42" customHeight="1">
      <c r="E246" s="4"/>
    </row>
    <row r="247" spans="5:5" ht="42" customHeight="1">
      <c r="E247" s="4"/>
    </row>
    <row r="248" spans="5:5" ht="42" customHeight="1">
      <c r="E248" s="4"/>
    </row>
    <row r="249" spans="5:5" ht="42" customHeight="1">
      <c r="E249" s="4"/>
    </row>
    <row r="250" spans="5:5" ht="42" customHeight="1">
      <c r="E250" s="4"/>
    </row>
    <row r="251" spans="5:5" ht="42" customHeight="1">
      <c r="E251" s="4"/>
    </row>
  </sheetData>
  <conditionalFormatting sqref="C1:C1048576">
    <cfRule type="duplicateValues" dxfId="16" priority="6"/>
  </conditionalFormatting>
  <conditionalFormatting sqref="E1:E1048576">
    <cfRule type="duplicateValues" dxfId="15" priority="4"/>
  </conditionalFormatting>
  <conditionalFormatting sqref="B1:B1048576">
    <cfRule type="duplicateValues" dxfId="14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3A88-9981-4EEC-9771-B3F5F12B32DB}">
  <dimension ref="A1:I252"/>
  <sheetViews>
    <sheetView workbookViewId="0">
      <selection activeCell="E206" sqref="E206"/>
    </sheetView>
  </sheetViews>
  <sheetFormatPr defaultColWidth="18.28515625" defaultRowHeight="15"/>
  <cols>
    <col min="3" max="3" width="27.140625" bestFit="1" customWidth="1"/>
    <col min="5" max="5" width="18.28515625" style="20"/>
    <col min="7" max="7" width="19.5703125" customWidth="1"/>
    <col min="8" max="8" width="21.140625" style="18" customWidth="1"/>
  </cols>
  <sheetData>
    <row r="1" spans="1:9" ht="38.25" customHeight="1">
      <c r="A1" s="5" t="s">
        <v>32</v>
      </c>
      <c r="B1" s="10" t="s">
        <v>33</v>
      </c>
      <c r="C1" s="15" t="s">
        <v>34</v>
      </c>
      <c r="D1" s="11" t="s">
        <v>35</v>
      </c>
      <c r="E1" s="19" t="s">
        <v>36</v>
      </c>
      <c r="F1" s="5" t="s">
        <v>37</v>
      </c>
      <c r="G1" s="5" t="s">
        <v>38</v>
      </c>
      <c r="H1" s="18" t="s">
        <v>36</v>
      </c>
      <c r="I1" s="9" t="s">
        <v>36</v>
      </c>
    </row>
    <row r="2" spans="1:9">
      <c r="A2" s="6" t="s">
        <v>39</v>
      </c>
      <c r="B2" s="13" t="s">
        <v>40</v>
      </c>
      <c r="C2" s="12" t="s">
        <v>41</v>
      </c>
      <c r="D2" s="14">
        <v>45329</v>
      </c>
      <c r="E2" s="19">
        <v>45327</v>
      </c>
      <c r="F2" s="6">
        <v>17624.87</v>
      </c>
      <c r="G2" s="6" t="s">
        <v>42</v>
      </c>
      <c r="H2" s="18">
        <v>45327</v>
      </c>
      <c r="I2" s="17">
        <f>IF(G2="Paid",D2,IF(OR(G2="Pending",G2="Overdue"),E2,"Invalid Status"))</f>
        <v>45327</v>
      </c>
    </row>
    <row r="3" spans="1:9">
      <c r="A3" s="6" t="s">
        <v>43</v>
      </c>
      <c r="B3" s="13" t="str">
        <f>"ORD" &amp; TEXT(RIGHT(B2,5) +1, "00000")</f>
        <v>ORD81582</v>
      </c>
      <c r="C3" s="12" t="s">
        <v>44</v>
      </c>
      <c r="D3" s="14">
        <v>45558</v>
      </c>
      <c r="E3" s="19">
        <v>45568</v>
      </c>
      <c r="F3" s="6">
        <v>8779.4500000000007</v>
      </c>
      <c r="G3" s="6" t="s">
        <v>42</v>
      </c>
      <c r="H3" s="18">
        <v>45568</v>
      </c>
      <c r="I3" s="17">
        <f>IF(G3="Paid",D3,IF(OR(G3="Pending",G3="Overdue"),E3,"Invalid Status"))</f>
        <v>45568</v>
      </c>
    </row>
    <row r="4" spans="1:9">
      <c r="A4" s="6" t="s">
        <v>45</v>
      </c>
      <c r="B4" s="13" t="str">
        <f t="shared" ref="B4:B67" si="0">"ORD" &amp; TEXT(RIGHT(B3,5) +1, "00000")</f>
        <v>ORD81583</v>
      </c>
      <c r="C4" s="12" t="s">
        <v>46</v>
      </c>
      <c r="D4" s="14">
        <v>45569</v>
      </c>
      <c r="E4" s="19">
        <v>45379</v>
      </c>
      <c r="F4" s="6">
        <v>13874.1</v>
      </c>
      <c r="G4" s="6" t="s">
        <v>47</v>
      </c>
      <c r="H4" s="18">
        <v>45379</v>
      </c>
      <c r="I4" s="17">
        <f>IF(G4="Paid",D4,IF(OR(G4="Pending",G4="Overdue"),E4,"Invalid Status"))</f>
        <v>45379</v>
      </c>
    </row>
    <row r="5" spans="1:9">
      <c r="A5" s="6" t="s">
        <v>48</v>
      </c>
      <c r="B5" s="13" t="str">
        <f t="shared" si="0"/>
        <v>ORD81584</v>
      </c>
      <c r="C5" s="12" t="s">
        <v>49</v>
      </c>
      <c r="D5" s="14">
        <v>45564</v>
      </c>
      <c r="E5" s="19">
        <v>45564</v>
      </c>
      <c r="F5" s="6">
        <v>44551.33</v>
      </c>
      <c r="G5" s="6" t="s">
        <v>50</v>
      </c>
      <c r="H5" s="18">
        <v>45564</v>
      </c>
      <c r="I5" s="17">
        <f>IF(G5="Paid",D5,IF(OR(G5="Pending",G5="Overdue"),E5,"Invalid Status"))</f>
        <v>45564</v>
      </c>
    </row>
    <row r="6" spans="1:9">
      <c r="A6" s="6" t="s">
        <v>51</v>
      </c>
      <c r="B6" s="13" t="str">
        <f t="shared" si="0"/>
        <v>ORD81585</v>
      </c>
      <c r="C6" s="12" t="s">
        <v>52</v>
      </c>
      <c r="D6" s="14">
        <v>45604</v>
      </c>
      <c r="E6" s="14">
        <v>45412</v>
      </c>
      <c r="F6" s="6">
        <v>48584.62</v>
      </c>
      <c r="G6" s="6" t="s">
        <v>42</v>
      </c>
      <c r="H6" s="18">
        <v>0</v>
      </c>
      <c r="I6" s="17">
        <f>IF(G6="Paid",D6,IF(OR(G6="Pending",G6="Overdue"),E6,"Invalid Status"))</f>
        <v>45412</v>
      </c>
    </row>
    <row r="7" spans="1:9">
      <c r="A7" s="6" t="s">
        <v>53</v>
      </c>
      <c r="B7" s="13" t="str">
        <f t="shared" si="0"/>
        <v>ORD81586</v>
      </c>
      <c r="C7" s="12" t="s">
        <v>54</v>
      </c>
      <c r="D7" s="14">
        <v>45461</v>
      </c>
      <c r="E7" s="19">
        <v>45461</v>
      </c>
      <c r="F7" s="6">
        <v>27444.76</v>
      </c>
      <c r="G7" s="6" t="s">
        <v>50</v>
      </c>
      <c r="H7" s="18">
        <v>45461</v>
      </c>
      <c r="I7" s="17">
        <f>IF(G7="Paid",D7,IF(OR(G7="Pending",G7="Overdue"),E7,"Invalid Status"))</f>
        <v>45461</v>
      </c>
    </row>
    <row r="8" spans="1:9">
      <c r="A8" s="6" t="s">
        <v>55</v>
      </c>
      <c r="B8" s="13" t="str">
        <f t="shared" si="0"/>
        <v>ORD81587</v>
      </c>
      <c r="C8" s="12" t="s">
        <v>41</v>
      </c>
      <c r="D8" s="14">
        <v>45365</v>
      </c>
      <c r="E8" s="19">
        <v>45365</v>
      </c>
      <c r="F8" s="6">
        <v>27828.71</v>
      </c>
      <c r="G8" s="6" t="s">
        <v>50</v>
      </c>
      <c r="H8" s="18">
        <v>45365</v>
      </c>
      <c r="I8" s="17">
        <f>IF(G8="Paid",D8,IF(OR(G8="Pending",G8="Overdue"),E8,"Invalid Status"))</f>
        <v>45365</v>
      </c>
    </row>
    <row r="9" spans="1:9">
      <c r="A9" s="6" t="s">
        <v>56</v>
      </c>
      <c r="B9" s="13" t="str">
        <f t="shared" si="0"/>
        <v>ORD81588</v>
      </c>
      <c r="C9" s="12" t="s">
        <v>44</v>
      </c>
      <c r="D9" s="14">
        <v>45568</v>
      </c>
      <c r="E9" s="14">
        <v>45538</v>
      </c>
      <c r="F9" s="6">
        <v>9322.1</v>
      </c>
      <c r="G9" s="6" t="s">
        <v>42</v>
      </c>
      <c r="H9" s="18" t="s">
        <v>57</v>
      </c>
      <c r="I9" s="17">
        <f>IF(G9="Paid",D9,IF(OR(G9="Pending",G9="Overdue"),E9,"Invalid Status"))</f>
        <v>45538</v>
      </c>
    </row>
    <row r="10" spans="1:9">
      <c r="A10" s="6" t="s">
        <v>58</v>
      </c>
      <c r="B10" s="13" t="str">
        <f t="shared" si="0"/>
        <v>ORD81589</v>
      </c>
      <c r="C10" s="12" t="s">
        <v>44</v>
      </c>
      <c r="D10" s="14">
        <v>45565</v>
      </c>
      <c r="E10" s="14">
        <v>45612</v>
      </c>
      <c r="F10" s="6">
        <v>6258.99</v>
      </c>
      <c r="G10" s="6" t="s">
        <v>42</v>
      </c>
      <c r="H10" s="18">
        <v>0</v>
      </c>
      <c r="I10" s="17">
        <f>IF(G10="Paid",D10,IF(OR(G10="Pending",G10="Overdue"),E10,"Invalid Status"))</f>
        <v>45612</v>
      </c>
    </row>
    <row r="11" spans="1:9">
      <c r="A11" s="6" t="s">
        <v>59</v>
      </c>
      <c r="B11" s="13" t="str">
        <f t="shared" si="0"/>
        <v>ORD81590</v>
      </c>
      <c r="C11" s="12" t="s">
        <v>49</v>
      </c>
      <c r="D11" s="14">
        <v>45412</v>
      </c>
      <c r="E11" s="19">
        <v>45377</v>
      </c>
      <c r="F11" s="6">
        <v>4076.09</v>
      </c>
      <c r="G11" s="6" t="s">
        <v>42</v>
      </c>
      <c r="H11" s="18">
        <v>45377</v>
      </c>
      <c r="I11" s="17">
        <f>IF(G11="Paid",D11,IF(OR(G11="Pending",G11="Overdue"),E11,"Invalid Status"))</f>
        <v>45377</v>
      </c>
    </row>
    <row r="12" spans="1:9">
      <c r="A12" s="6" t="s">
        <v>60</v>
      </c>
      <c r="B12" s="13" t="str">
        <f t="shared" si="0"/>
        <v>ORD81591</v>
      </c>
      <c r="C12" s="12" t="s">
        <v>49</v>
      </c>
      <c r="D12" s="14">
        <v>45416</v>
      </c>
      <c r="E12" s="19">
        <v>45643</v>
      </c>
      <c r="F12" s="6">
        <v>49187.58</v>
      </c>
      <c r="G12" s="6" t="s">
        <v>47</v>
      </c>
      <c r="H12" s="18">
        <v>45643</v>
      </c>
      <c r="I12" s="17">
        <f>IF(G12="Paid",D12,IF(OR(G12="Pending",G12="Overdue"),E12,"Invalid Status"))</f>
        <v>45643</v>
      </c>
    </row>
    <row r="13" spans="1:9">
      <c r="A13" s="6" t="s">
        <v>61</v>
      </c>
      <c r="B13" s="13" t="str">
        <f t="shared" si="0"/>
        <v>ORD81592</v>
      </c>
      <c r="C13" s="12" t="s">
        <v>44</v>
      </c>
      <c r="D13" s="14">
        <v>45436</v>
      </c>
      <c r="E13" s="19">
        <v>45436</v>
      </c>
      <c r="F13" s="6">
        <v>17859.96</v>
      </c>
      <c r="G13" s="6" t="s">
        <v>50</v>
      </c>
      <c r="H13" s="18">
        <v>45436</v>
      </c>
      <c r="I13" s="17">
        <f>IF(G13="Paid",D13,IF(OR(G13="Pending",G13="Overdue"),E13,"Invalid Status"))</f>
        <v>45436</v>
      </c>
    </row>
    <row r="14" spans="1:9">
      <c r="A14" s="6" t="s">
        <v>62</v>
      </c>
      <c r="B14" s="13" t="str">
        <f t="shared" si="0"/>
        <v>ORD81593</v>
      </c>
      <c r="C14" s="12" t="s">
        <v>44</v>
      </c>
      <c r="D14" s="14">
        <v>45289</v>
      </c>
      <c r="E14" s="19">
        <v>45631</v>
      </c>
      <c r="F14" s="6">
        <v>23017.01</v>
      </c>
      <c r="G14" s="6" t="s">
        <v>47</v>
      </c>
      <c r="H14" s="18">
        <v>45631</v>
      </c>
      <c r="I14" s="17">
        <f>IF(G14="Paid",D14,IF(OR(G14="Pending",G14="Overdue"),E14,"Invalid Status"))</f>
        <v>45631</v>
      </c>
    </row>
    <row r="15" spans="1:9">
      <c r="A15" s="6" t="s">
        <v>63</v>
      </c>
      <c r="B15" s="13" t="str">
        <f t="shared" si="0"/>
        <v>ORD81594</v>
      </c>
      <c r="C15" s="12" t="s">
        <v>49</v>
      </c>
      <c r="D15" s="14">
        <v>45452</v>
      </c>
      <c r="E15" s="19">
        <v>45628</v>
      </c>
      <c r="F15" s="6">
        <v>2178.27</v>
      </c>
      <c r="G15" s="6" t="s">
        <v>42</v>
      </c>
      <c r="H15" s="18">
        <v>45628</v>
      </c>
      <c r="I15" s="17">
        <f>IF(G15="Paid",D15,IF(OR(G15="Pending",G15="Overdue"),E15,"Invalid Status"))</f>
        <v>45628</v>
      </c>
    </row>
    <row r="16" spans="1:9">
      <c r="A16" s="6" t="s">
        <v>64</v>
      </c>
      <c r="B16" s="13" t="str">
        <f t="shared" si="0"/>
        <v>ORD81595</v>
      </c>
      <c r="C16" s="12" t="s">
        <v>44</v>
      </c>
      <c r="D16" s="14">
        <v>45601</v>
      </c>
      <c r="E16" s="19">
        <v>45601</v>
      </c>
      <c r="F16" s="6">
        <v>46669.43</v>
      </c>
      <c r="G16" s="6" t="s">
        <v>50</v>
      </c>
      <c r="H16" s="18">
        <v>45601</v>
      </c>
      <c r="I16" s="17">
        <f>IF(G16="Paid",D16,IF(OR(G16="Pending",G16="Overdue"),E16,"Invalid Status"))</f>
        <v>45601</v>
      </c>
    </row>
    <row r="17" spans="1:9">
      <c r="A17" s="6" t="s">
        <v>65</v>
      </c>
      <c r="B17" s="13" t="str">
        <f t="shared" si="0"/>
        <v>ORD81596</v>
      </c>
      <c r="C17" s="12" t="s">
        <v>41</v>
      </c>
      <c r="D17" s="14">
        <v>45539</v>
      </c>
      <c r="E17" s="19">
        <v>45539</v>
      </c>
      <c r="F17" s="6">
        <v>30460.15</v>
      </c>
      <c r="G17" s="6" t="s">
        <v>50</v>
      </c>
      <c r="H17" s="18">
        <v>45539</v>
      </c>
      <c r="I17" s="17">
        <f>IF(G17="Paid",D17,IF(OR(G17="Pending",G17="Overdue"),E17,"Invalid Status"))</f>
        <v>45539</v>
      </c>
    </row>
    <row r="18" spans="1:9">
      <c r="A18" s="6" t="s">
        <v>66</v>
      </c>
      <c r="B18" s="13" t="str">
        <f t="shared" si="0"/>
        <v>ORD81597</v>
      </c>
      <c r="C18" s="12" t="s">
        <v>46</v>
      </c>
      <c r="D18" s="14">
        <v>45538</v>
      </c>
      <c r="E18" s="19">
        <v>45350</v>
      </c>
      <c r="F18" s="6">
        <v>35809.019999999997</v>
      </c>
      <c r="G18" s="6" t="s">
        <v>42</v>
      </c>
      <c r="H18" s="18">
        <v>45350</v>
      </c>
      <c r="I18" s="17">
        <f>IF(G18="Paid",D18,IF(OR(G18="Pending",G18="Overdue"),E18,"Invalid Status"))</f>
        <v>45350</v>
      </c>
    </row>
    <row r="19" spans="1:9">
      <c r="A19" s="6" t="s">
        <v>67</v>
      </c>
      <c r="B19" s="13" t="str">
        <f t="shared" si="0"/>
        <v>ORD81598</v>
      </c>
      <c r="C19" s="12" t="s">
        <v>49</v>
      </c>
      <c r="D19" s="14">
        <v>45522</v>
      </c>
      <c r="E19" s="19">
        <v>45589</v>
      </c>
      <c r="F19" s="6">
        <v>22070.5</v>
      </c>
      <c r="G19" s="6" t="s">
        <v>42</v>
      </c>
      <c r="H19" s="18">
        <v>45589</v>
      </c>
      <c r="I19" s="17">
        <f>IF(G19="Paid",D19,IF(OR(G19="Pending",G19="Overdue"),E19,"Invalid Status"))</f>
        <v>45589</v>
      </c>
    </row>
    <row r="20" spans="1:9">
      <c r="A20" s="6" t="s">
        <v>68</v>
      </c>
      <c r="B20" s="13" t="str">
        <f t="shared" si="0"/>
        <v>ORD81599</v>
      </c>
      <c r="C20" s="12" t="s">
        <v>49</v>
      </c>
      <c r="D20" s="14">
        <v>45402</v>
      </c>
      <c r="E20" s="19">
        <v>45518</v>
      </c>
      <c r="F20" s="6">
        <v>1428.63</v>
      </c>
      <c r="G20" s="6" t="s">
        <v>47</v>
      </c>
      <c r="H20" s="18">
        <v>45518</v>
      </c>
      <c r="I20" s="17">
        <f>IF(G20="Paid",D20,IF(OR(G20="Pending",G20="Overdue"),E20,"Invalid Status"))</f>
        <v>45518</v>
      </c>
    </row>
    <row r="21" spans="1:9">
      <c r="A21" s="6" t="s">
        <v>69</v>
      </c>
      <c r="B21" s="13" t="str">
        <f t="shared" si="0"/>
        <v>ORD81600</v>
      </c>
      <c r="C21" s="12" t="s">
        <v>41</v>
      </c>
      <c r="D21" s="14">
        <v>45452</v>
      </c>
      <c r="E21" s="19">
        <v>45280</v>
      </c>
      <c r="F21" s="6">
        <v>16258.84</v>
      </c>
      <c r="G21" s="6" t="s">
        <v>42</v>
      </c>
      <c r="H21" s="18">
        <v>45280</v>
      </c>
      <c r="I21" s="17">
        <f>IF(G21="Paid",D21,IF(OR(G21="Pending",G21="Overdue"),E21,"Invalid Status"))</f>
        <v>45280</v>
      </c>
    </row>
    <row r="22" spans="1:9">
      <c r="A22" s="6" t="s">
        <v>70</v>
      </c>
      <c r="B22" s="13" t="str">
        <f t="shared" si="0"/>
        <v>ORD81601</v>
      </c>
      <c r="C22" s="12" t="s">
        <v>44</v>
      </c>
      <c r="D22" s="14">
        <v>45505</v>
      </c>
      <c r="E22" s="19">
        <v>45494</v>
      </c>
      <c r="F22" s="6">
        <v>38843.31</v>
      </c>
      <c r="G22" s="6" t="s">
        <v>47</v>
      </c>
      <c r="H22" s="18">
        <v>45494</v>
      </c>
      <c r="I22" s="17">
        <f>IF(G22="Paid",D22,IF(OR(G22="Pending",G22="Overdue"),E22,"Invalid Status"))</f>
        <v>45494</v>
      </c>
    </row>
    <row r="23" spans="1:9">
      <c r="A23" s="6" t="s">
        <v>71</v>
      </c>
      <c r="B23" s="13" t="str">
        <f t="shared" si="0"/>
        <v>ORD81602</v>
      </c>
      <c r="C23" s="12" t="s">
        <v>46</v>
      </c>
      <c r="D23" s="14">
        <v>45612</v>
      </c>
      <c r="E23" s="19">
        <v>45366</v>
      </c>
      <c r="F23" s="6">
        <v>39567.300000000003</v>
      </c>
      <c r="G23" s="6" t="s">
        <v>47</v>
      </c>
      <c r="H23" s="18">
        <v>45366</v>
      </c>
      <c r="I23" s="17">
        <f>IF(G23="Paid",D23,IF(OR(G23="Pending",G23="Overdue"),E23,"Invalid Status"))</f>
        <v>45366</v>
      </c>
    </row>
    <row r="24" spans="1:9">
      <c r="A24" s="6" t="s">
        <v>72</v>
      </c>
      <c r="B24" s="13" t="str">
        <f t="shared" si="0"/>
        <v>ORD81603</v>
      </c>
      <c r="C24" s="12" t="s">
        <v>49</v>
      </c>
      <c r="D24" s="14">
        <v>45419</v>
      </c>
      <c r="E24" s="19">
        <v>45419</v>
      </c>
      <c r="F24" s="6">
        <v>27696.79</v>
      </c>
      <c r="G24" s="6" t="s">
        <v>50</v>
      </c>
      <c r="H24" s="18">
        <v>45419</v>
      </c>
      <c r="I24" s="17">
        <f>IF(G24="Paid",D24,IF(OR(G24="Pending",G24="Overdue"),E24,"Invalid Status"))</f>
        <v>45419</v>
      </c>
    </row>
    <row r="25" spans="1:9">
      <c r="A25" s="6" t="s">
        <v>73</v>
      </c>
      <c r="B25" s="13" t="str">
        <f t="shared" si="0"/>
        <v>ORD81604</v>
      </c>
      <c r="C25" s="12" t="s">
        <v>46</v>
      </c>
      <c r="D25" s="14">
        <v>45415</v>
      </c>
      <c r="E25" s="19">
        <v>45438</v>
      </c>
      <c r="F25" s="6">
        <v>6319.2</v>
      </c>
      <c r="G25" s="6" t="s">
        <v>42</v>
      </c>
      <c r="H25" s="18">
        <v>45438</v>
      </c>
      <c r="I25" s="17">
        <f>IF(G25="Paid",D25,IF(OR(G25="Pending",G25="Overdue"),E25,"Invalid Status"))</f>
        <v>45438</v>
      </c>
    </row>
    <row r="26" spans="1:9">
      <c r="A26" s="6" t="s">
        <v>74</v>
      </c>
      <c r="B26" s="13" t="str">
        <f t="shared" si="0"/>
        <v>ORD81605</v>
      </c>
      <c r="C26" s="12" t="s">
        <v>41</v>
      </c>
      <c r="D26" s="14">
        <v>45394</v>
      </c>
      <c r="E26" s="19">
        <v>45334</v>
      </c>
      <c r="F26" s="6">
        <v>26104.1</v>
      </c>
      <c r="G26" s="6" t="s">
        <v>47</v>
      </c>
      <c r="H26" s="18">
        <v>45334</v>
      </c>
      <c r="I26" s="17">
        <f>IF(G26="Paid",D26,IF(OR(G26="Pending",G26="Overdue"),E26,"Invalid Status"))</f>
        <v>45334</v>
      </c>
    </row>
    <row r="27" spans="1:9">
      <c r="A27" s="6" t="s">
        <v>75</v>
      </c>
      <c r="B27" s="13" t="str">
        <f t="shared" si="0"/>
        <v>ORD81606</v>
      </c>
      <c r="C27" s="12" t="s">
        <v>49</v>
      </c>
      <c r="D27" s="14">
        <v>45356</v>
      </c>
      <c r="E27" s="19">
        <v>45371</v>
      </c>
      <c r="F27" s="6">
        <v>45605.16</v>
      </c>
      <c r="G27" s="6" t="s">
        <v>42</v>
      </c>
      <c r="H27" s="18">
        <v>45371</v>
      </c>
      <c r="I27" s="17">
        <f>IF(G27="Paid",D27,IF(OR(G27="Pending",G27="Overdue"),E27,"Invalid Status"))</f>
        <v>45371</v>
      </c>
    </row>
    <row r="28" spans="1:9">
      <c r="A28" s="6" t="s">
        <v>76</v>
      </c>
      <c r="B28" s="13" t="str">
        <f t="shared" si="0"/>
        <v>ORD81607</v>
      </c>
      <c r="C28" s="12" t="s">
        <v>44</v>
      </c>
      <c r="D28" s="14">
        <v>45523</v>
      </c>
      <c r="E28" s="19">
        <v>45523</v>
      </c>
      <c r="F28" s="6">
        <v>24178.71</v>
      </c>
      <c r="G28" s="6" t="s">
        <v>50</v>
      </c>
      <c r="H28" s="18">
        <v>45523</v>
      </c>
      <c r="I28" s="17">
        <f>IF(G28="Paid",D28,IF(OR(G28="Pending",G28="Overdue"),E28,"Invalid Status"))</f>
        <v>45523</v>
      </c>
    </row>
    <row r="29" spans="1:9">
      <c r="A29" s="6" t="s">
        <v>77</v>
      </c>
      <c r="B29" s="13" t="str">
        <f t="shared" si="0"/>
        <v>ORD81608</v>
      </c>
      <c r="C29" s="12" t="s">
        <v>49</v>
      </c>
      <c r="D29" s="14">
        <v>45529</v>
      </c>
      <c r="E29" s="19">
        <v>45446</v>
      </c>
      <c r="F29" s="6">
        <v>45398.68</v>
      </c>
      <c r="G29" s="6" t="s">
        <v>47</v>
      </c>
      <c r="H29" s="18">
        <v>45446</v>
      </c>
      <c r="I29" s="17">
        <f>IF(G29="Paid",D29,IF(OR(G29="Pending",G29="Overdue"),E29,"Invalid Status"))</f>
        <v>45446</v>
      </c>
    </row>
    <row r="30" spans="1:9">
      <c r="A30" s="6" t="s">
        <v>78</v>
      </c>
      <c r="B30" s="13" t="str">
        <f t="shared" si="0"/>
        <v>ORD81609</v>
      </c>
      <c r="C30" s="12" t="s">
        <v>44</v>
      </c>
      <c r="D30" s="14">
        <v>45452</v>
      </c>
      <c r="E30" s="19">
        <v>45452</v>
      </c>
      <c r="F30" s="6">
        <v>34191.129999999997</v>
      </c>
      <c r="G30" s="6" t="s">
        <v>50</v>
      </c>
      <c r="H30" s="18">
        <v>45452</v>
      </c>
      <c r="I30" s="17">
        <f>IF(G30="Paid",D30,IF(OR(G30="Pending",G30="Overdue"),E30,"Invalid Status"))</f>
        <v>45452</v>
      </c>
    </row>
    <row r="31" spans="1:9">
      <c r="A31" s="6" t="s">
        <v>79</v>
      </c>
      <c r="B31" s="13" t="str">
        <f t="shared" si="0"/>
        <v>ORD81610</v>
      </c>
      <c r="C31" s="12" t="s">
        <v>44</v>
      </c>
      <c r="D31" s="14">
        <v>45444</v>
      </c>
      <c r="E31" s="19">
        <v>45444</v>
      </c>
      <c r="F31" s="6">
        <v>29747.47</v>
      </c>
      <c r="G31" s="6" t="s">
        <v>50</v>
      </c>
      <c r="H31" s="18">
        <v>45444</v>
      </c>
      <c r="I31" s="17">
        <f>IF(G31="Paid",D31,IF(OR(G31="Pending",G31="Overdue"),E31,"Invalid Status"))</f>
        <v>45444</v>
      </c>
    </row>
    <row r="32" spans="1:9">
      <c r="A32" s="6" t="s">
        <v>80</v>
      </c>
      <c r="B32" s="13" t="str">
        <f t="shared" si="0"/>
        <v>ORD81611</v>
      </c>
      <c r="C32" s="12" t="s">
        <v>46</v>
      </c>
      <c r="D32" s="14">
        <v>45643</v>
      </c>
      <c r="E32" s="19">
        <v>45643</v>
      </c>
      <c r="F32" s="6">
        <v>39409.599999999999</v>
      </c>
      <c r="G32" s="6" t="s">
        <v>50</v>
      </c>
      <c r="H32" s="18">
        <v>45643</v>
      </c>
      <c r="I32" s="17">
        <f>IF(G32="Paid",D32,IF(OR(G32="Pending",G32="Overdue"),E32,"Invalid Status"))</f>
        <v>45643</v>
      </c>
    </row>
    <row r="33" spans="1:9">
      <c r="A33" s="6" t="s">
        <v>81</v>
      </c>
      <c r="B33" s="13" t="str">
        <f t="shared" si="0"/>
        <v>ORD81612</v>
      </c>
      <c r="C33" s="12" t="s">
        <v>41</v>
      </c>
      <c r="D33" s="14">
        <v>45537</v>
      </c>
      <c r="E33" s="19">
        <v>45537</v>
      </c>
      <c r="F33" s="6">
        <v>8071.47</v>
      </c>
      <c r="G33" s="6" t="s">
        <v>50</v>
      </c>
      <c r="H33" s="18">
        <v>45537</v>
      </c>
      <c r="I33" s="17">
        <f>IF(G33="Paid",D33,IF(OR(G33="Pending",G33="Overdue"),E33,"Invalid Status"))</f>
        <v>45537</v>
      </c>
    </row>
    <row r="34" spans="1:9">
      <c r="A34" s="6" t="s">
        <v>82</v>
      </c>
      <c r="B34" s="13" t="str">
        <f t="shared" si="0"/>
        <v>ORD81613</v>
      </c>
      <c r="C34" s="12" t="s">
        <v>46</v>
      </c>
      <c r="D34" s="14">
        <v>45517</v>
      </c>
      <c r="E34" s="19">
        <v>45340</v>
      </c>
      <c r="F34" s="6">
        <v>21138.1</v>
      </c>
      <c r="G34" s="6" t="s">
        <v>42</v>
      </c>
      <c r="H34" s="18">
        <v>45340</v>
      </c>
      <c r="I34" s="17">
        <f>IF(G34="Paid",D34,IF(OR(G34="Pending",G34="Overdue"),E34,"Invalid Status"))</f>
        <v>45340</v>
      </c>
    </row>
    <row r="35" spans="1:9">
      <c r="A35" s="6" t="s">
        <v>83</v>
      </c>
      <c r="B35" s="13" t="str">
        <f t="shared" si="0"/>
        <v>ORD81614</v>
      </c>
      <c r="C35" s="12" t="s">
        <v>41</v>
      </c>
      <c r="D35" s="14">
        <v>45322</v>
      </c>
      <c r="E35" s="19">
        <v>45306</v>
      </c>
      <c r="F35" s="6">
        <v>28521.72</v>
      </c>
      <c r="G35" s="6" t="s">
        <v>42</v>
      </c>
      <c r="H35" s="18">
        <v>45306</v>
      </c>
      <c r="I35" s="17">
        <f>IF(G35="Paid",D35,IF(OR(G35="Pending",G35="Overdue"),E35,"Invalid Status"))</f>
        <v>45306</v>
      </c>
    </row>
    <row r="36" spans="1:9">
      <c r="A36" s="6" t="s">
        <v>84</v>
      </c>
      <c r="B36" s="13" t="str">
        <f t="shared" si="0"/>
        <v>ORD81615</v>
      </c>
      <c r="C36" s="12" t="s">
        <v>49</v>
      </c>
      <c r="D36" s="14">
        <v>45326</v>
      </c>
      <c r="E36" s="19">
        <v>45445</v>
      </c>
      <c r="F36" s="6">
        <v>31761.46</v>
      </c>
      <c r="G36" s="6" t="s">
        <v>47</v>
      </c>
      <c r="H36" s="18">
        <v>45445</v>
      </c>
      <c r="I36" s="17">
        <f>IF(G36="Paid",D36,IF(OR(G36="Pending",G36="Overdue"),E36,"Invalid Status"))</f>
        <v>45445</v>
      </c>
    </row>
    <row r="37" spans="1:9">
      <c r="A37" s="6" t="s">
        <v>85</v>
      </c>
      <c r="B37" s="13" t="str">
        <f t="shared" si="0"/>
        <v>ORD81616</v>
      </c>
      <c r="C37" s="12" t="s">
        <v>44</v>
      </c>
      <c r="D37" s="14">
        <v>45464</v>
      </c>
      <c r="E37" s="19">
        <v>45464</v>
      </c>
      <c r="F37" s="6">
        <v>4736.84</v>
      </c>
      <c r="G37" s="6" t="s">
        <v>50</v>
      </c>
      <c r="H37" s="18">
        <v>45464</v>
      </c>
      <c r="I37" s="17">
        <f>IF(G37="Paid",D37,IF(OR(G37="Pending",G37="Overdue"),E37,"Invalid Status"))</f>
        <v>45464</v>
      </c>
    </row>
    <row r="38" spans="1:9">
      <c r="A38" s="6" t="s">
        <v>86</v>
      </c>
      <c r="B38" s="13" t="str">
        <f t="shared" si="0"/>
        <v>ORD81617</v>
      </c>
      <c r="C38" s="12" t="s">
        <v>41</v>
      </c>
      <c r="D38" s="14">
        <v>45306</v>
      </c>
      <c r="E38" s="19">
        <v>45362</v>
      </c>
      <c r="F38" s="6">
        <v>43517.04</v>
      </c>
      <c r="G38" s="6" t="s">
        <v>42</v>
      </c>
      <c r="H38" s="18">
        <v>45362</v>
      </c>
      <c r="I38" s="17">
        <f>IF(G38="Paid",D38,IF(OR(G38="Pending",G38="Overdue"),E38,"Invalid Status"))</f>
        <v>45362</v>
      </c>
    </row>
    <row r="39" spans="1:9">
      <c r="A39" s="6" t="s">
        <v>87</v>
      </c>
      <c r="B39" s="13" t="str">
        <f t="shared" si="0"/>
        <v>ORD81618</v>
      </c>
      <c r="C39" s="12" t="s">
        <v>49</v>
      </c>
      <c r="D39" s="14">
        <v>45516</v>
      </c>
      <c r="E39" s="19">
        <v>45348</v>
      </c>
      <c r="F39" s="6">
        <v>26125.69</v>
      </c>
      <c r="G39" s="6" t="s">
        <v>47</v>
      </c>
      <c r="H39" s="18">
        <v>45348</v>
      </c>
      <c r="I39" s="17">
        <f>IF(G39="Paid",D39,IF(OR(G39="Pending",G39="Overdue"),E39,"Invalid Status"))</f>
        <v>45348</v>
      </c>
    </row>
    <row r="40" spans="1:9">
      <c r="A40" s="6" t="s">
        <v>88</v>
      </c>
      <c r="B40" s="13" t="str">
        <f t="shared" si="0"/>
        <v>ORD81619</v>
      </c>
      <c r="C40" s="12" t="s">
        <v>41</v>
      </c>
      <c r="D40" s="14">
        <v>45534</v>
      </c>
      <c r="E40" s="19">
        <v>45525</v>
      </c>
      <c r="F40" s="6">
        <v>23345.97</v>
      </c>
      <c r="G40" s="6" t="s">
        <v>47</v>
      </c>
      <c r="H40" s="18">
        <v>45525</v>
      </c>
      <c r="I40" s="17">
        <f>IF(G40="Paid",D40,IF(OR(G40="Pending",G40="Overdue"),E40,"Invalid Status"))</f>
        <v>45525</v>
      </c>
    </row>
    <row r="41" spans="1:9">
      <c r="A41" s="6" t="s">
        <v>89</v>
      </c>
      <c r="B41" s="13" t="str">
        <f t="shared" si="0"/>
        <v>ORD81620</v>
      </c>
      <c r="C41" s="12" t="s">
        <v>49</v>
      </c>
      <c r="D41" s="14">
        <v>45326</v>
      </c>
      <c r="E41" s="19">
        <v>45296</v>
      </c>
      <c r="F41" s="6">
        <v>10792.73</v>
      </c>
      <c r="G41" s="6" t="s">
        <v>47</v>
      </c>
      <c r="H41" s="18">
        <v>45296</v>
      </c>
      <c r="I41" s="17">
        <f>IF(G41="Paid",D41,IF(OR(G41="Pending",G41="Overdue"),E41,"Invalid Status"))</f>
        <v>45296</v>
      </c>
    </row>
    <row r="42" spans="1:9">
      <c r="A42" s="6" t="s">
        <v>90</v>
      </c>
      <c r="B42" s="13" t="str">
        <f t="shared" si="0"/>
        <v>ORD81621</v>
      </c>
      <c r="C42" s="12" t="s">
        <v>44</v>
      </c>
      <c r="D42" s="14">
        <v>45619</v>
      </c>
      <c r="E42" s="19">
        <v>45538</v>
      </c>
      <c r="F42" s="6">
        <v>45168.65</v>
      </c>
      <c r="G42" s="6" t="s">
        <v>42</v>
      </c>
      <c r="H42" s="18">
        <v>45538</v>
      </c>
      <c r="I42" s="17">
        <f>IF(G42="Paid",D42,IF(OR(G42="Pending",G42="Overdue"),E42,"Invalid Status"))</f>
        <v>45538</v>
      </c>
    </row>
    <row r="43" spans="1:9">
      <c r="A43" s="6" t="s">
        <v>91</v>
      </c>
      <c r="B43" s="13" t="str">
        <f t="shared" si="0"/>
        <v>ORD81622</v>
      </c>
      <c r="C43" s="12" t="s">
        <v>44</v>
      </c>
      <c r="D43" s="14">
        <v>45415</v>
      </c>
      <c r="E43" s="19">
        <v>45551</v>
      </c>
      <c r="F43" s="6">
        <v>47728.14</v>
      </c>
      <c r="G43" s="6" t="s">
        <v>47</v>
      </c>
      <c r="H43" s="18">
        <v>45551</v>
      </c>
      <c r="I43" s="17">
        <f>IF(G43="Paid",D43,IF(OR(G43="Pending",G43="Overdue"),E43,"Invalid Status"))</f>
        <v>45551</v>
      </c>
    </row>
    <row r="44" spans="1:9">
      <c r="A44" s="6" t="s">
        <v>92</v>
      </c>
      <c r="B44" s="13" t="str">
        <f t="shared" si="0"/>
        <v>ORD81623</v>
      </c>
      <c r="C44" s="12" t="s">
        <v>41</v>
      </c>
      <c r="D44" s="14">
        <v>45474</v>
      </c>
      <c r="E44" s="19">
        <v>45411</v>
      </c>
      <c r="F44" s="6">
        <v>22444.48</v>
      </c>
      <c r="G44" s="6" t="s">
        <v>42</v>
      </c>
      <c r="H44" s="18">
        <v>45411</v>
      </c>
      <c r="I44" s="17">
        <f>IF(G44="Paid",D44,IF(OR(G44="Pending",G44="Overdue"),E44,"Invalid Status"))</f>
        <v>45411</v>
      </c>
    </row>
    <row r="45" spans="1:9">
      <c r="A45" s="6" t="s">
        <v>93</v>
      </c>
      <c r="B45" s="13" t="str">
        <f t="shared" si="0"/>
        <v>ORD81624</v>
      </c>
      <c r="C45" s="12" t="s">
        <v>44</v>
      </c>
      <c r="D45" s="14">
        <v>45606</v>
      </c>
      <c r="E45" s="19">
        <v>45622</v>
      </c>
      <c r="F45" s="6">
        <v>42635.25</v>
      </c>
      <c r="G45" s="6" t="s">
        <v>42</v>
      </c>
      <c r="H45" s="18">
        <v>45622</v>
      </c>
      <c r="I45" s="17">
        <f>IF(G45="Paid",D45,IF(OR(G45="Pending",G45="Overdue"),E45,"Invalid Status"))</f>
        <v>45622</v>
      </c>
    </row>
    <row r="46" spans="1:9">
      <c r="A46" s="6" t="s">
        <v>94</v>
      </c>
      <c r="B46" s="13" t="str">
        <f t="shared" si="0"/>
        <v>ORD81625</v>
      </c>
      <c r="C46" s="12" t="s">
        <v>49</v>
      </c>
      <c r="D46" s="14">
        <v>45364</v>
      </c>
      <c r="E46" s="19">
        <v>45364</v>
      </c>
      <c r="F46" s="6">
        <v>40312.129999999997</v>
      </c>
      <c r="G46" s="6" t="s">
        <v>50</v>
      </c>
      <c r="H46" s="18">
        <v>45364</v>
      </c>
      <c r="I46" s="17">
        <f>IF(G46="Paid",D46,IF(OR(G46="Pending",G46="Overdue"),E46,"Invalid Status"))</f>
        <v>45364</v>
      </c>
    </row>
    <row r="47" spans="1:9">
      <c r="A47" s="6" t="s">
        <v>95</v>
      </c>
      <c r="B47" s="13" t="str">
        <f t="shared" si="0"/>
        <v>ORD81626</v>
      </c>
      <c r="C47" s="12" t="s">
        <v>46</v>
      </c>
      <c r="D47" s="14">
        <v>45424</v>
      </c>
      <c r="E47" s="19">
        <v>45424</v>
      </c>
      <c r="F47" s="6">
        <v>9150.57</v>
      </c>
      <c r="G47" s="6" t="s">
        <v>50</v>
      </c>
      <c r="H47" s="18">
        <v>45424</v>
      </c>
      <c r="I47" s="17">
        <f>IF(G47="Paid",D47,IF(OR(G47="Pending",G47="Overdue"),E47,"Invalid Status"))</f>
        <v>45424</v>
      </c>
    </row>
    <row r="48" spans="1:9">
      <c r="A48" s="6" t="s">
        <v>96</v>
      </c>
      <c r="B48" s="13" t="str">
        <f t="shared" si="0"/>
        <v>ORD81627</v>
      </c>
      <c r="C48" s="12" t="s">
        <v>41</v>
      </c>
      <c r="D48" s="14">
        <v>45633</v>
      </c>
      <c r="E48" s="19">
        <v>45601</v>
      </c>
      <c r="F48" s="6">
        <v>25821.200000000001</v>
      </c>
      <c r="G48" s="6" t="s">
        <v>42</v>
      </c>
      <c r="H48" s="18">
        <v>45601</v>
      </c>
      <c r="I48" s="17">
        <f>IF(G48="Paid",D48,IF(OR(G48="Pending",G48="Overdue"),E48,"Invalid Status"))</f>
        <v>45601</v>
      </c>
    </row>
    <row r="49" spans="1:9">
      <c r="A49" s="6" t="s">
        <v>97</v>
      </c>
      <c r="B49" s="13" t="str">
        <f t="shared" si="0"/>
        <v>ORD81628</v>
      </c>
      <c r="C49" s="12" t="s">
        <v>46</v>
      </c>
      <c r="D49" s="14">
        <v>45385</v>
      </c>
      <c r="E49" s="19">
        <v>45517</v>
      </c>
      <c r="F49" s="6">
        <v>26237.52</v>
      </c>
      <c r="G49" s="6" t="s">
        <v>42</v>
      </c>
      <c r="H49" s="18">
        <v>45517</v>
      </c>
      <c r="I49" s="17">
        <f>IF(G49="Paid",D49,IF(OR(G49="Pending",G49="Overdue"),E49,"Invalid Status"))</f>
        <v>45517</v>
      </c>
    </row>
    <row r="50" spans="1:9">
      <c r="A50" s="6" t="s">
        <v>98</v>
      </c>
      <c r="B50" s="13" t="str">
        <f t="shared" si="0"/>
        <v>ORD81629</v>
      </c>
      <c r="C50" s="12" t="s">
        <v>46</v>
      </c>
      <c r="D50" s="14">
        <v>45345</v>
      </c>
      <c r="E50" s="19">
        <v>45345</v>
      </c>
      <c r="F50" s="6">
        <v>7626.15</v>
      </c>
      <c r="G50" s="6" t="s">
        <v>50</v>
      </c>
      <c r="H50" s="18">
        <v>45345</v>
      </c>
      <c r="I50" s="17">
        <f>IF(G50="Paid",D50,IF(OR(G50="Pending",G50="Overdue"),E50,"Invalid Status"))</f>
        <v>45345</v>
      </c>
    </row>
    <row r="51" spans="1:9">
      <c r="A51" s="6" t="s">
        <v>99</v>
      </c>
      <c r="B51" s="13" t="str">
        <f t="shared" si="0"/>
        <v>ORD81630</v>
      </c>
      <c r="C51" s="12" t="s">
        <v>46</v>
      </c>
      <c r="D51" s="14">
        <v>45405</v>
      </c>
      <c r="E51" s="19">
        <v>45624</v>
      </c>
      <c r="F51" s="6">
        <v>41292.01</v>
      </c>
      <c r="G51" s="6" t="s">
        <v>42</v>
      </c>
      <c r="H51" s="18">
        <v>45624</v>
      </c>
      <c r="I51" s="17">
        <f>IF(G51="Paid",D51,IF(OR(G51="Pending",G51="Overdue"),E51,"Invalid Status"))</f>
        <v>45624</v>
      </c>
    </row>
    <row r="52" spans="1:9">
      <c r="A52" s="6" t="s">
        <v>100</v>
      </c>
      <c r="B52" s="13" t="str">
        <f t="shared" si="0"/>
        <v>ORD81631</v>
      </c>
      <c r="C52" s="12" t="s">
        <v>41</v>
      </c>
      <c r="D52" s="14">
        <v>45496</v>
      </c>
      <c r="E52" s="19">
        <v>45496</v>
      </c>
      <c r="F52" s="6">
        <v>42522.29</v>
      </c>
      <c r="G52" s="6" t="s">
        <v>50</v>
      </c>
      <c r="H52" s="18">
        <v>45496</v>
      </c>
      <c r="I52" s="17">
        <f>IF(G52="Paid",D52,IF(OR(G52="Pending",G52="Overdue"),E52,"Invalid Status"))</f>
        <v>45496</v>
      </c>
    </row>
    <row r="53" spans="1:9">
      <c r="A53" s="6" t="s">
        <v>101</v>
      </c>
      <c r="B53" s="13" t="str">
        <f t="shared" si="0"/>
        <v>ORD81632</v>
      </c>
      <c r="C53" s="12" t="s">
        <v>41</v>
      </c>
      <c r="D53" s="14">
        <v>45429</v>
      </c>
      <c r="E53" s="19">
        <v>45334</v>
      </c>
      <c r="F53" s="6">
        <v>36914.89</v>
      </c>
      <c r="G53" s="6" t="s">
        <v>47</v>
      </c>
      <c r="H53" s="18">
        <v>45334</v>
      </c>
      <c r="I53" s="17">
        <f>IF(G53="Paid",D53,IF(OR(G53="Pending",G53="Overdue"),E53,"Invalid Status"))</f>
        <v>45334</v>
      </c>
    </row>
    <row r="54" spans="1:9">
      <c r="A54" s="6" t="s">
        <v>102</v>
      </c>
      <c r="B54" s="13" t="str">
        <f>"ORD" &amp; TEXT(RIGHT(B53,5) +1, "00000")</f>
        <v>ORD81633</v>
      </c>
      <c r="C54" s="12" t="s">
        <v>49</v>
      </c>
      <c r="D54" s="14">
        <v>45601</v>
      </c>
      <c r="E54" s="19">
        <v>45601</v>
      </c>
      <c r="F54" s="6">
        <v>11011.58</v>
      </c>
      <c r="G54" s="6" t="s">
        <v>50</v>
      </c>
      <c r="H54" s="18">
        <v>45601</v>
      </c>
      <c r="I54" s="17">
        <f>IF(G54="Paid",D54,IF(OR(G54="Pending",G54="Overdue"),E54,"Invalid Status"))</f>
        <v>45601</v>
      </c>
    </row>
    <row r="55" spans="1:9">
      <c r="A55" s="6" t="s">
        <v>103</v>
      </c>
      <c r="B55" s="13" t="str">
        <f t="shared" si="0"/>
        <v>ORD81634</v>
      </c>
      <c r="C55" s="12" t="s">
        <v>44</v>
      </c>
      <c r="D55" s="14">
        <v>45486</v>
      </c>
      <c r="E55" s="19">
        <v>45486</v>
      </c>
      <c r="F55" s="6">
        <v>30898.13</v>
      </c>
      <c r="G55" s="6" t="s">
        <v>50</v>
      </c>
      <c r="H55" s="18">
        <v>45486</v>
      </c>
      <c r="I55" s="17">
        <f>IF(G55="Paid",D55,IF(OR(G55="Pending",G55="Overdue"),E55,"Invalid Status"))</f>
        <v>45486</v>
      </c>
    </row>
    <row r="56" spans="1:9">
      <c r="A56" s="6" t="s">
        <v>104</v>
      </c>
      <c r="B56" s="13" t="str">
        <f t="shared" si="0"/>
        <v>ORD81635</v>
      </c>
      <c r="C56" s="12" t="s">
        <v>41</v>
      </c>
      <c r="D56" s="14">
        <v>45330</v>
      </c>
      <c r="E56" s="19">
        <v>45618</v>
      </c>
      <c r="F56" s="6">
        <v>4017.93</v>
      </c>
      <c r="G56" s="6" t="s">
        <v>47</v>
      </c>
      <c r="H56" s="18">
        <v>45618</v>
      </c>
      <c r="I56" s="17">
        <f>IF(G56="Paid",D56,IF(OR(G56="Pending",G56="Overdue"),E56,"Invalid Status"))</f>
        <v>45618</v>
      </c>
    </row>
    <row r="57" spans="1:9">
      <c r="A57" s="6" t="s">
        <v>105</v>
      </c>
      <c r="B57" s="13" t="str">
        <f t="shared" si="0"/>
        <v>ORD81636</v>
      </c>
      <c r="C57" s="12" t="s">
        <v>49</v>
      </c>
      <c r="D57" s="14">
        <v>45288</v>
      </c>
      <c r="E57" s="19">
        <v>45311</v>
      </c>
      <c r="F57" s="6">
        <v>27805.1</v>
      </c>
      <c r="G57" s="6" t="s">
        <v>47</v>
      </c>
      <c r="H57" s="18">
        <v>45311</v>
      </c>
      <c r="I57" s="17">
        <f>IF(G57="Paid",D57,IF(OR(G57="Pending",G57="Overdue"),E57,"Invalid Status"))</f>
        <v>45311</v>
      </c>
    </row>
    <row r="58" spans="1:9">
      <c r="A58" s="6" t="s">
        <v>106</v>
      </c>
      <c r="B58" s="13" t="str">
        <f t="shared" si="0"/>
        <v>ORD81637</v>
      </c>
      <c r="C58" s="12" t="s">
        <v>41</v>
      </c>
      <c r="D58" s="14">
        <v>45585</v>
      </c>
      <c r="E58" s="19">
        <v>45379</v>
      </c>
      <c r="F58" s="6">
        <v>31121.94</v>
      </c>
      <c r="G58" s="6" t="s">
        <v>42</v>
      </c>
      <c r="H58" s="18">
        <v>45379</v>
      </c>
      <c r="I58" s="17">
        <f>IF(G58="Paid",D58,IF(OR(G58="Pending",G58="Overdue"),E58,"Invalid Status"))</f>
        <v>45379</v>
      </c>
    </row>
    <row r="59" spans="1:9">
      <c r="A59" s="6" t="s">
        <v>107</v>
      </c>
      <c r="B59" s="13" t="str">
        <f t="shared" si="0"/>
        <v>ORD81638</v>
      </c>
      <c r="C59" s="12" t="s">
        <v>46</v>
      </c>
      <c r="D59" s="14">
        <v>45478</v>
      </c>
      <c r="E59" s="19">
        <v>45478</v>
      </c>
      <c r="F59" s="6">
        <v>34111.86</v>
      </c>
      <c r="G59" s="6" t="s">
        <v>50</v>
      </c>
      <c r="H59" s="18">
        <v>45478</v>
      </c>
      <c r="I59" s="17">
        <f>IF(G59="Paid",D59,IF(OR(G59="Pending",G59="Overdue"),E59,"Invalid Status"))</f>
        <v>45478</v>
      </c>
    </row>
    <row r="60" spans="1:9">
      <c r="A60" s="6" t="s">
        <v>108</v>
      </c>
      <c r="B60" s="13" t="str">
        <f t="shared" si="0"/>
        <v>ORD81639</v>
      </c>
      <c r="C60" s="12" t="s">
        <v>41</v>
      </c>
      <c r="D60" s="14">
        <v>45331</v>
      </c>
      <c r="E60" s="19">
        <v>45279</v>
      </c>
      <c r="F60" s="6">
        <v>47058.86</v>
      </c>
      <c r="G60" s="6" t="s">
        <v>42</v>
      </c>
      <c r="H60" s="18">
        <v>45279</v>
      </c>
      <c r="I60" s="17">
        <f>IF(G60="Paid",D60,IF(OR(G60="Pending",G60="Overdue"),E60,"Invalid Status"))</f>
        <v>45279</v>
      </c>
    </row>
    <row r="61" spans="1:9">
      <c r="A61" s="6" t="s">
        <v>109</v>
      </c>
      <c r="B61" s="13" t="str">
        <f t="shared" si="0"/>
        <v>ORD81640</v>
      </c>
      <c r="C61" s="12" t="s">
        <v>49</v>
      </c>
      <c r="D61" s="14">
        <v>45492</v>
      </c>
      <c r="E61" s="19">
        <v>45394</v>
      </c>
      <c r="F61" s="6">
        <v>35930.660000000003</v>
      </c>
      <c r="G61" s="6" t="s">
        <v>47</v>
      </c>
      <c r="H61" s="18">
        <v>45394</v>
      </c>
      <c r="I61" s="17">
        <f>IF(G61="Paid",D61,IF(OR(G61="Pending",G61="Overdue"),E61,"Invalid Status"))</f>
        <v>45394</v>
      </c>
    </row>
    <row r="62" spans="1:9">
      <c r="A62" s="6" t="s">
        <v>110</v>
      </c>
      <c r="B62" s="13" t="str">
        <f t="shared" si="0"/>
        <v>ORD81641</v>
      </c>
      <c r="C62" s="12" t="s">
        <v>46</v>
      </c>
      <c r="D62" s="14">
        <v>45481</v>
      </c>
      <c r="E62" s="19">
        <v>45456</v>
      </c>
      <c r="F62" s="6">
        <v>14675.93</v>
      </c>
      <c r="G62" s="6" t="s">
        <v>47</v>
      </c>
      <c r="H62" s="18">
        <v>45456</v>
      </c>
      <c r="I62" s="17">
        <f>IF(G62="Paid",D62,IF(OR(G62="Pending",G62="Overdue"),E62,"Invalid Status"))</f>
        <v>45456</v>
      </c>
    </row>
    <row r="63" spans="1:9">
      <c r="A63" s="6" t="s">
        <v>111</v>
      </c>
      <c r="B63" s="13" t="str">
        <f t="shared" si="0"/>
        <v>ORD81642</v>
      </c>
      <c r="C63" s="12" t="s">
        <v>41</v>
      </c>
      <c r="D63" s="14">
        <v>45572</v>
      </c>
      <c r="E63" s="19">
        <v>45572</v>
      </c>
      <c r="F63" s="6">
        <v>49822.52</v>
      </c>
      <c r="G63" s="6" t="s">
        <v>50</v>
      </c>
      <c r="H63" s="18">
        <v>45572</v>
      </c>
      <c r="I63" s="17">
        <f>IF(G63="Paid",D63,IF(OR(G63="Pending",G63="Overdue"),E63,"Invalid Status"))</f>
        <v>45572</v>
      </c>
    </row>
    <row r="64" spans="1:9">
      <c r="A64" s="6" t="s">
        <v>112</v>
      </c>
      <c r="B64" s="13" t="str">
        <f t="shared" si="0"/>
        <v>ORD81643</v>
      </c>
      <c r="C64" s="12" t="s">
        <v>41</v>
      </c>
      <c r="D64" s="14">
        <v>45434</v>
      </c>
      <c r="E64" s="19">
        <v>45512</v>
      </c>
      <c r="F64" s="6">
        <v>45881.440000000002</v>
      </c>
      <c r="G64" s="6" t="s">
        <v>47</v>
      </c>
      <c r="H64" s="18">
        <v>45512</v>
      </c>
      <c r="I64" s="17">
        <f>IF(G64="Paid",D64,IF(OR(G64="Pending",G64="Overdue"),E64,"Invalid Status"))</f>
        <v>45512</v>
      </c>
    </row>
    <row r="65" spans="1:9">
      <c r="A65" s="6" t="s">
        <v>113</v>
      </c>
      <c r="B65" s="13" t="str">
        <f t="shared" si="0"/>
        <v>ORD81644</v>
      </c>
      <c r="C65" s="12" t="s">
        <v>41</v>
      </c>
      <c r="D65" s="14">
        <v>45609</v>
      </c>
      <c r="E65" s="19">
        <v>45609</v>
      </c>
      <c r="F65" s="6">
        <v>38103.25</v>
      </c>
      <c r="G65" s="6" t="s">
        <v>50</v>
      </c>
      <c r="H65" s="18">
        <v>45609</v>
      </c>
      <c r="I65" s="17">
        <f>IF(G65="Paid",D65,IF(OR(G65="Pending",G65="Overdue"),E65,"Invalid Status"))</f>
        <v>45609</v>
      </c>
    </row>
    <row r="66" spans="1:9">
      <c r="A66" s="6" t="s">
        <v>114</v>
      </c>
      <c r="B66" s="13" t="str">
        <f t="shared" si="0"/>
        <v>ORD81645</v>
      </c>
      <c r="C66" s="12" t="s">
        <v>41</v>
      </c>
      <c r="D66" s="14">
        <v>45388</v>
      </c>
      <c r="E66" s="19">
        <v>45287</v>
      </c>
      <c r="F66" s="6">
        <v>49207.46</v>
      </c>
      <c r="G66" s="6" t="s">
        <v>47</v>
      </c>
      <c r="H66" s="18">
        <v>45287</v>
      </c>
      <c r="I66" s="17">
        <f>IF(G66="Paid",D66,IF(OR(G66="Pending",G66="Overdue"),E66,"Invalid Status"))</f>
        <v>45287</v>
      </c>
    </row>
    <row r="67" spans="1:9">
      <c r="A67" s="6" t="s">
        <v>115</v>
      </c>
      <c r="B67" s="13" t="str">
        <f t="shared" si="0"/>
        <v>ORD81646</v>
      </c>
      <c r="C67" s="12" t="s">
        <v>49</v>
      </c>
      <c r="D67" s="14">
        <v>45559</v>
      </c>
      <c r="E67" s="19">
        <v>45290</v>
      </c>
      <c r="F67" s="6">
        <v>32098.09</v>
      </c>
      <c r="G67" s="6" t="s">
        <v>42</v>
      </c>
      <c r="H67" s="18">
        <v>45290</v>
      </c>
      <c r="I67" s="17">
        <f>IF(G67="Paid",D67,IF(OR(G67="Pending",G67="Overdue"),E67,"Invalid Status"))</f>
        <v>45290</v>
      </c>
    </row>
    <row r="68" spans="1:9">
      <c r="A68" s="6" t="s">
        <v>116</v>
      </c>
      <c r="B68" s="13" t="str">
        <f t="shared" ref="B68:B131" si="1">"ORD" &amp; TEXT(RIGHT(B67,5) +1, "00000")</f>
        <v>ORD81647</v>
      </c>
      <c r="C68" s="12" t="s">
        <v>44</v>
      </c>
      <c r="D68" s="14">
        <v>45526</v>
      </c>
      <c r="E68" s="19">
        <v>45526</v>
      </c>
      <c r="F68" s="6">
        <v>23543.42</v>
      </c>
      <c r="G68" s="6" t="s">
        <v>50</v>
      </c>
      <c r="H68" s="18">
        <v>45526</v>
      </c>
      <c r="I68" s="17">
        <f>IF(G68="Paid",D68,IF(OR(G68="Pending",G68="Overdue"),E68,"Invalid Status"))</f>
        <v>45526</v>
      </c>
    </row>
    <row r="69" spans="1:9">
      <c r="A69" s="6" t="s">
        <v>117</v>
      </c>
      <c r="B69" s="13" t="str">
        <f t="shared" si="1"/>
        <v>ORD81648</v>
      </c>
      <c r="C69" s="12" t="s">
        <v>49</v>
      </c>
      <c r="D69" s="14">
        <v>45335</v>
      </c>
      <c r="E69" s="19">
        <v>45562</v>
      </c>
      <c r="F69" s="6">
        <v>47056.58</v>
      </c>
      <c r="G69" s="6" t="s">
        <v>47</v>
      </c>
      <c r="H69" s="18">
        <v>45562</v>
      </c>
      <c r="I69" s="17">
        <f>IF(G69="Paid",D69,IF(OR(G69="Pending",G69="Overdue"),E69,"Invalid Status"))</f>
        <v>45562</v>
      </c>
    </row>
    <row r="70" spans="1:9">
      <c r="A70" s="6" t="s">
        <v>118</v>
      </c>
      <c r="B70" s="13" t="str">
        <f t="shared" si="1"/>
        <v>ORD81649</v>
      </c>
      <c r="C70" s="12" t="s">
        <v>46</v>
      </c>
      <c r="D70" s="14">
        <v>45522</v>
      </c>
      <c r="E70" s="19">
        <v>45512</v>
      </c>
      <c r="F70" s="6">
        <v>24080.25</v>
      </c>
      <c r="G70" s="6" t="s">
        <v>42</v>
      </c>
      <c r="H70" s="18">
        <v>45512</v>
      </c>
      <c r="I70" s="17">
        <f>IF(G70="Paid",D70,IF(OR(G70="Pending",G70="Overdue"),E70,"Invalid Status"))</f>
        <v>45512</v>
      </c>
    </row>
    <row r="71" spans="1:9">
      <c r="A71" s="6" t="s">
        <v>119</v>
      </c>
      <c r="B71" s="13" t="str">
        <f t="shared" si="1"/>
        <v>ORD81650</v>
      </c>
      <c r="C71" s="12" t="s">
        <v>41</v>
      </c>
      <c r="D71" s="14">
        <v>45483</v>
      </c>
      <c r="E71" s="19">
        <v>45314</v>
      </c>
      <c r="F71" s="6">
        <v>44945.94</v>
      </c>
      <c r="G71" s="6" t="s">
        <v>42</v>
      </c>
      <c r="H71" s="18">
        <v>45314</v>
      </c>
      <c r="I71" s="17">
        <f>IF(G71="Paid",D71,IF(OR(G71="Pending",G71="Overdue"),E71,"Invalid Status"))</f>
        <v>45314</v>
      </c>
    </row>
    <row r="72" spans="1:9">
      <c r="A72" s="6" t="s">
        <v>120</v>
      </c>
      <c r="B72" s="13" t="str">
        <f t="shared" si="1"/>
        <v>ORD81651</v>
      </c>
      <c r="C72" s="12" t="s">
        <v>44</v>
      </c>
      <c r="D72" s="14">
        <v>45400</v>
      </c>
      <c r="E72" s="19">
        <v>45400</v>
      </c>
      <c r="F72" s="6">
        <v>37603.14</v>
      </c>
      <c r="G72" s="6" t="s">
        <v>50</v>
      </c>
      <c r="H72" s="18">
        <v>45400</v>
      </c>
      <c r="I72" s="17">
        <f>IF(G72="Paid",D72,IF(OR(G72="Pending",G72="Overdue"),E72,"Invalid Status"))</f>
        <v>45400</v>
      </c>
    </row>
    <row r="73" spans="1:9">
      <c r="A73" s="6" t="s">
        <v>121</v>
      </c>
      <c r="B73" s="13" t="str">
        <f t="shared" si="1"/>
        <v>ORD81652</v>
      </c>
      <c r="C73" s="12" t="s">
        <v>46</v>
      </c>
      <c r="D73" s="14">
        <v>45303</v>
      </c>
      <c r="E73" s="19">
        <v>45303</v>
      </c>
      <c r="F73" s="6">
        <v>30192.29</v>
      </c>
      <c r="G73" s="6" t="s">
        <v>50</v>
      </c>
      <c r="H73" s="18">
        <v>45303</v>
      </c>
      <c r="I73" s="17">
        <f>IF(G73="Paid",D73,IF(OR(G73="Pending",G73="Overdue"),E73,"Invalid Status"))</f>
        <v>45303</v>
      </c>
    </row>
    <row r="74" spans="1:9">
      <c r="A74" s="6" t="s">
        <v>122</v>
      </c>
      <c r="B74" s="13" t="str">
        <f t="shared" si="1"/>
        <v>ORD81653</v>
      </c>
      <c r="C74" s="12" t="s">
        <v>46</v>
      </c>
      <c r="D74" s="14">
        <v>45478</v>
      </c>
      <c r="E74" s="19">
        <v>45478</v>
      </c>
      <c r="F74" s="6">
        <v>37536.230000000003</v>
      </c>
      <c r="G74" s="6" t="s">
        <v>50</v>
      </c>
      <c r="H74" s="18">
        <v>45478</v>
      </c>
      <c r="I74" s="17">
        <f>IF(G74="Paid",D74,IF(OR(G74="Pending",G74="Overdue"),E74,"Invalid Status"))</f>
        <v>45478</v>
      </c>
    </row>
    <row r="75" spans="1:9">
      <c r="A75" s="6" t="s">
        <v>123</v>
      </c>
      <c r="B75" s="13" t="str">
        <f t="shared" si="1"/>
        <v>ORD81654</v>
      </c>
      <c r="C75" s="12" t="s">
        <v>44</v>
      </c>
      <c r="D75" s="14">
        <v>45458</v>
      </c>
      <c r="E75" s="19">
        <v>45335</v>
      </c>
      <c r="F75" s="6">
        <v>17385.59</v>
      </c>
      <c r="G75" s="6" t="s">
        <v>47</v>
      </c>
      <c r="H75" s="18">
        <v>45335</v>
      </c>
      <c r="I75" s="17">
        <f>IF(G75="Paid",D75,IF(OR(G75="Pending",G75="Overdue"),E75,"Invalid Status"))</f>
        <v>45335</v>
      </c>
    </row>
    <row r="76" spans="1:9">
      <c r="A76" s="6" t="s">
        <v>124</v>
      </c>
      <c r="B76" s="13" t="str">
        <f t="shared" si="1"/>
        <v>ORD81655</v>
      </c>
      <c r="C76" s="12" t="s">
        <v>46</v>
      </c>
      <c r="D76" s="14">
        <v>45429</v>
      </c>
      <c r="E76" s="19">
        <v>45497</v>
      </c>
      <c r="F76" s="6">
        <v>46645.4</v>
      </c>
      <c r="G76" s="6" t="s">
        <v>47</v>
      </c>
      <c r="H76" s="18">
        <v>45497</v>
      </c>
      <c r="I76" s="17">
        <f>IF(G76="Paid",D76,IF(OR(G76="Pending",G76="Overdue"),E76,"Invalid Status"))</f>
        <v>45497</v>
      </c>
    </row>
    <row r="77" spans="1:9">
      <c r="A77" s="6" t="s">
        <v>125</v>
      </c>
      <c r="B77" s="13" t="str">
        <f t="shared" si="1"/>
        <v>ORD81656</v>
      </c>
      <c r="C77" s="12" t="s">
        <v>46</v>
      </c>
      <c r="D77" s="14">
        <v>45376</v>
      </c>
      <c r="E77" s="19">
        <v>45376</v>
      </c>
      <c r="F77" s="6">
        <v>45453.68</v>
      </c>
      <c r="G77" s="6" t="s">
        <v>50</v>
      </c>
      <c r="H77" s="18">
        <v>45376</v>
      </c>
      <c r="I77" s="17">
        <f>IF(G77="Paid",D77,IF(OR(G77="Pending",G77="Overdue"),E77,"Invalid Status"))</f>
        <v>45376</v>
      </c>
    </row>
    <row r="78" spans="1:9">
      <c r="A78" s="6" t="s">
        <v>126</v>
      </c>
      <c r="B78" s="13" t="str">
        <f t="shared" si="1"/>
        <v>ORD81657</v>
      </c>
      <c r="C78" s="12" t="s">
        <v>46</v>
      </c>
      <c r="D78" s="14">
        <v>45430</v>
      </c>
      <c r="E78" s="19">
        <v>45430</v>
      </c>
      <c r="F78" s="6">
        <v>38134.699999999997</v>
      </c>
      <c r="G78" s="6" t="s">
        <v>50</v>
      </c>
      <c r="H78" s="18">
        <v>45430</v>
      </c>
      <c r="I78" s="17">
        <f>IF(G78="Paid",D78,IF(OR(G78="Pending",G78="Overdue"),E78,"Invalid Status"))</f>
        <v>45430</v>
      </c>
    </row>
    <row r="79" spans="1:9">
      <c r="A79" s="6" t="s">
        <v>127</v>
      </c>
      <c r="B79" s="13" t="str">
        <f t="shared" si="1"/>
        <v>ORD81658</v>
      </c>
      <c r="C79" s="12" t="s">
        <v>49</v>
      </c>
      <c r="D79" s="14">
        <v>45496</v>
      </c>
      <c r="E79" s="19">
        <v>45635</v>
      </c>
      <c r="F79" s="6">
        <v>38327.51</v>
      </c>
      <c r="G79" s="6" t="s">
        <v>42</v>
      </c>
      <c r="H79" s="18">
        <v>45635</v>
      </c>
      <c r="I79" s="17">
        <f>IF(G79="Paid",D79,IF(OR(G79="Pending",G79="Overdue"),E79,"Invalid Status"))</f>
        <v>45635</v>
      </c>
    </row>
    <row r="80" spans="1:9">
      <c r="A80" s="6" t="s">
        <v>128</v>
      </c>
      <c r="B80" s="13" t="str">
        <f t="shared" si="1"/>
        <v>ORD81659</v>
      </c>
      <c r="C80" s="12" t="s">
        <v>44</v>
      </c>
      <c r="D80" s="14">
        <v>45514</v>
      </c>
      <c r="E80" s="19">
        <v>45637</v>
      </c>
      <c r="F80" s="6">
        <v>15986.71</v>
      </c>
      <c r="G80" s="6" t="s">
        <v>42</v>
      </c>
      <c r="H80" s="18">
        <v>45637</v>
      </c>
      <c r="I80" s="17">
        <f>IF(G80="Paid",D80,IF(OR(G80="Pending",G80="Overdue"),E80,"Invalid Status"))</f>
        <v>45637</v>
      </c>
    </row>
    <row r="81" spans="1:9">
      <c r="A81" s="6" t="s">
        <v>129</v>
      </c>
      <c r="B81" s="13" t="str">
        <f t="shared" si="1"/>
        <v>ORD81660</v>
      </c>
      <c r="C81" s="12" t="s">
        <v>41</v>
      </c>
      <c r="D81" s="14">
        <v>45401</v>
      </c>
      <c r="E81" s="19">
        <v>45517</v>
      </c>
      <c r="F81" s="6">
        <v>29960.3</v>
      </c>
      <c r="G81" s="6" t="s">
        <v>47</v>
      </c>
      <c r="H81" s="18">
        <v>45517</v>
      </c>
      <c r="I81" s="17">
        <f>IF(G81="Paid",D81,IF(OR(G81="Pending",G81="Overdue"),E81,"Invalid Status"))</f>
        <v>45517</v>
      </c>
    </row>
    <row r="82" spans="1:9">
      <c r="A82" s="6" t="s">
        <v>130</v>
      </c>
      <c r="B82" s="13" t="str">
        <f t="shared" si="1"/>
        <v>ORD81661</v>
      </c>
      <c r="C82" s="12" t="s">
        <v>41</v>
      </c>
      <c r="D82" s="14">
        <v>45312</v>
      </c>
      <c r="E82" s="19">
        <v>45312</v>
      </c>
      <c r="F82" s="6">
        <v>27110.25</v>
      </c>
      <c r="G82" s="6" t="s">
        <v>50</v>
      </c>
      <c r="H82" s="18">
        <v>45312</v>
      </c>
      <c r="I82" s="17">
        <f>IF(G82="Paid",D82,IF(OR(G82="Pending",G82="Overdue"),E82,"Invalid Status"))</f>
        <v>45312</v>
      </c>
    </row>
    <row r="83" spans="1:9">
      <c r="A83" s="6" t="s">
        <v>131</v>
      </c>
      <c r="B83" s="13" t="str">
        <f t="shared" si="1"/>
        <v>ORD81662</v>
      </c>
      <c r="C83" s="12" t="s">
        <v>49</v>
      </c>
      <c r="D83" s="14">
        <v>45638</v>
      </c>
      <c r="E83" s="19">
        <v>45638</v>
      </c>
      <c r="F83" s="6">
        <v>47286.55</v>
      </c>
      <c r="G83" s="6" t="s">
        <v>50</v>
      </c>
      <c r="H83" s="18">
        <v>45638</v>
      </c>
      <c r="I83" s="17">
        <f>IF(G83="Paid",D83,IF(OR(G83="Pending",G83="Overdue"),E83,"Invalid Status"))</f>
        <v>45638</v>
      </c>
    </row>
    <row r="84" spans="1:9">
      <c r="A84" s="6" t="s">
        <v>132</v>
      </c>
      <c r="B84" s="13" t="str">
        <f t="shared" si="1"/>
        <v>ORD81663</v>
      </c>
      <c r="C84" s="12" t="s">
        <v>46</v>
      </c>
      <c r="D84" s="14">
        <v>45555</v>
      </c>
      <c r="E84" s="19">
        <v>45555</v>
      </c>
      <c r="F84" s="6">
        <v>10963.12</v>
      </c>
      <c r="G84" s="6" t="s">
        <v>50</v>
      </c>
      <c r="H84" s="18">
        <v>45555</v>
      </c>
      <c r="I84" s="17">
        <f>IF(G84="Paid",D84,IF(OR(G84="Pending",G84="Overdue"),E84,"Invalid Status"))</f>
        <v>45555</v>
      </c>
    </row>
    <row r="85" spans="1:9">
      <c r="A85" s="6" t="s">
        <v>133</v>
      </c>
      <c r="B85" s="13" t="str">
        <f t="shared" si="1"/>
        <v>ORD81664</v>
      </c>
      <c r="C85" s="12" t="s">
        <v>41</v>
      </c>
      <c r="D85" s="14">
        <v>45480</v>
      </c>
      <c r="E85" s="19">
        <v>45480</v>
      </c>
      <c r="F85" s="6">
        <v>43210.42</v>
      </c>
      <c r="G85" s="6" t="s">
        <v>50</v>
      </c>
      <c r="H85" s="18">
        <v>45480</v>
      </c>
      <c r="I85" s="17">
        <f>IF(G85="Paid",D85,IF(OR(G85="Pending",G85="Overdue"),E85,"Invalid Status"))</f>
        <v>45480</v>
      </c>
    </row>
    <row r="86" spans="1:9">
      <c r="A86" s="6" t="s">
        <v>134</v>
      </c>
      <c r="B86" s="13" t="str">
        <f t="shared" si="1"/>
        <v>ORD81665</v>
      </c>
      <c r="C86" s="12" t="s">
        <v>44</v>
      </c>
      <c r="D86" s="14">
        <v>45595</v>
      </c>
      <c r="E86" s="19">
        <v>45278</v>
      </c>
      <c r="F86" s="6">
        <v>33484.61</v>
      </c>
      <c r="G86" s="6" t="s">
        <v>42</v>
      </c>
      <c r="H86" s="18">
        <v>45278</v>
      </c>
      <c r="I86" s="17">
        <f>IF(G86="Paid",D86,IF(OR(G86="Pending",G86="Overdue"),E86,"Invalid Status"))</f>
        <v>45278</v>
      </c>
    </row>
    <row r="87" spans="1:9">
      <c r="A87" s="6" t="s">
        <v>135</v>
      </c>
      <c r="B87" s="13" t="str">
        <f t="shared" si="1"/>
        <v>ORD81666</v>
      </c>
      <c r="C87" s="12" t="s">
        <v>44</v>
      </c>
      <c r="D87" s="14">
        <v>45434</v>
      </c>
      <c r="E87" s="19">
        <v>45434</v>
      </c>
      <c r="F87" s="6">
        <v>37266.31</v>
      </c>
      <c r="G87" s="6" t="s">
        <v>50</v>
      </c>
      <c r="H87" s="18">
        <v>45434</v>
      </c>
      <c r="I87" s="17">
        <f>IF(G87="Paid",D87,IF(OR(G87="Pending",G87="Overdue"),E87,"Invalid Status"))</f>
        <v>45434</v>
      </c>
    </row>
    <row r="88" spans="1:9">
      <c r="A88" s="6" t="s">
        <v>136</v>
      </c>
      <c r="B88" s="13" t="str">
        <f t="shared" si="1"/>
        <v>ORD81667</v>
      </c>
      <c r="C88" s="12" t="s">
        <v>46</v>
      </c>
      <c r="D88" s="14">
        <v>45552</v>
      </c>
      <c r="E88" s="19">
        <v>45533</v>
      </c>
      <c r="F88" s="6">
        <v>39095.14</v>
      </c>
      <c r="G88" s="6" t="s">
        <v>47</v>
      </c>
      <c r="H88" s="18">
        <v>45533</v>
      </c>
      <c r="I88" s="17">
        <f>IF(G88="Paid",D88,IF(OR(G88="Pending",G88="Overdue"),E88,"Invalid Status"))</f>
        <v>45533</v>
      </c>
    </row>
    <row r="89" spans="1:9">
      <c r="A89" s="6" t="s">
        <v>137</v>
      </c>
      <c r="B89" s="13" t="str">
        <f t="shared" si="1"/>
        <v>ORD81668</v>
      </c>
      <c r="C89" s="12" t="s">
        <v>44</v>
      </c>
      <c r="D89" s="14">
        <v>45501</v>
      </c>
      <c r="E89" s="19">
        <v>45314</v>
      </c>
      <c r="F89" s="6">
        <v>7670.13</v>
      </c>
      <c r="G89" s="6" t="s">
        <v>47</v>
      </c>
      <c r="H89" s="18">
        <v>45314</v>
      </c>
      <c r="I89" s="17">
        <f>IF(G89="Paid",D89,IF(OR(G89="Pending",G89="Overdue"),E89,"Invalid Status"))</f>
        <v>45314</v>
      </c>
    </row>
    <row r="90" spans="1:9">
      <c r="A90" s="6" t="s">
        <v>138</v>
      </c>
      <c r="B90" s="13" t="str">
        <f t="shared" si="1"/>
        <v>ORD81669</v>
      </c>
      <c r="C90" s="12" t="s">
        <v>44</v>
      </c>
      <c r="D90" s="14">
        <v>45537</v>
      </c>
      <c r="E90" s="19">
        <v>45596</v>
      </c>
      <c r="F90" s="6">
        <v>4477.92</v>
      </c>
      <c r="G90" s="6" t="s">
        <v>47</v>
      </c>
      <c r="H90" s="18">
        <v>45596</v>
      </c>
      <c r="I90" s="17">
        <f>IF(G90="Paid",D90,IF(OR(G90="Pending",G90="Overdue"),E90,"Invalid Status"))</f>
        <v>45596</v>
      </c>
    </row>
    <row r="91" spans="1:9">
      <c r="A91" s="6" t="s">
        <v>139</v>
      </c>
      <c r="B91" s="13" t="str">
        <f t="shared" si="1"/>
        <v>ORD81670</v>
      </c>
      <c r="C91" s="12" t="s">
        <v>49</v>
      </c>
      <c r="D91" s="14">
        <v>45432</v>
      </c>
      <c r="E91" s="19">
        <v>45496</v>
      </c>
      <c r="F91" s="6">
        <v>10790.25</v>
      </c>
      <c r="G91" s="6" t="s">
        <v>42</v>
      </c>
      <c r="H91" s="18">
        <v>45496</v>
      </c>
      <c r="I91" s="17">
        <f>IF(G91="Paid",D91,IF(OR(G91="Pending",G91="Overdue"),E91,"Invalid Status"))</f>
        <v>45496</v>
      </c>
    </row>
    <row r="92" spans="1:9">
      <c r="A92" s="6" t="s">
        <v>140</v>
      </c>
      <c r="B92" s="13" t="str">
        <f t="shared" si="1"/>
        <v>ORD81671</v>
      </c>
      <c r="C92" s="12" t="s">
        <v>49</v>
      </c>
      <c r="D92" s="14">
        <v>45439</v>
      </c>
      <c r="E92" s="19">
        <v>45526</v>
      </c>
      <c r="F92" s="6">
        <v>1082</v>
      </c>
      <c r="G92" s="6" t="s">
        <v>47</v>
      </c>
      <c r="H92" s="18">
        <v>45526</v>
      </c>
      <c r="I92" s="17">
        <f>IF(G92="Paid",D92,IF(OR(G92="Pending",G92="Overdue"),E92,"Invalid Status"))</f>
        <v>45526</v>
      </c>
    </row>
    <row r="93" spans="1:9">
      <c r="A93" s="6" t="s">
        <v>141</v>
      </c>
      <c r="B93" s="13" t="str">
        <f t="shared" si="1"/>
        <v>ORD81672</v>
      </c>
      <c r="C93" s="12" t="s">
        <v>41</v>
      </c>
      <c r="D93" s="14">
        <v>45603</v>
      </c>
      <c r="E93" s="19">
        <v>45603</v>
      </c>
      <c r="F93" s="6">
        <v>11252.58</v>
      </c>
      <c r="G93" s="6" t="s">
        <v>50</v>
      </c>
      <c r="H93" s="18">
        <v>45603</v>
      </c>
      <c r="I93" s="17">
        <f>IF(G93="Paid",D93,IF(OR(G93="Pending",G93="Overdue"),E93,"Invalid Status"))</f>
        <v>45603</v>
      </c>
    </row>
    <row r="94" spans="1:9">
      <c r="A94" s="6" t="s">
        <v>142</v>
      </c>
      <c r="B94" s="13" t="str">
        <f t="shared" si="1"/>
        <v>ORD81673</v>
      </c>
      <c r="C94" s="12" t="s">
        <v>46</v>
      </c>
      <c r="D94" s="14">
        <v>45606</v>
      </c>
      <c r="E94" s="19">
        <v>45547</v>
      </c>
      <c r="F94" s="6">
        <v>43459.29</v>
      </c>
      <c r="G94" s="6" t="s">
        <v>47</v>
      </c>
      <c r="H94" s="18">
        <v>45547</v>
      </c>
      <c r="I94" s="17">
        <f>IF(G94="Paid",D94,IF(OR(G94="Pending",G94="Overdue"),E94,"Invalid Status"))</f>
        <v>45547</v>
      </c>
    </row>
    <row r="95" spans="1:9">
      <c r="A95" s="6" t="s">
        <v>143</v>
      </c>
      <c r="B95" s="13" t="str">
        <f t="shared" si="1"/>
        <v>ORD81674</v>
      </c>
      <c r="C95" s="12" t="s">
        <v>44</v>
      </c>
      <c r="D95" s="14">
        <v>45622</v>
      </c>
      <c r="E95" s="19">
        <v>45348</v>
      </c>
      <c r="F95" s="6">
        <v>4531.33</v>
      </c>
      <c r="G95" s="6" t="s">
        <v>47</v>
      </c>
      <c r="H95" s="18">
        <v>45348</v>
      </c>
      <c r="I95" s="17">
        <f>IF(G95="Paid",D95,IF(OR(G95="Pending",G95="Overdue"),E95,"Invalid Status"))</f>
        <v>45348</v>
      </c>
    </row>
    <row r="96" spans="1:9">
      <c r="A96" s="6" t="s">
        <v>144</v>
      </c>
      <c r="B96" s="13" t="str">
        <f t="shared" si="1"/>
        <v>ORD81675</v>
      </c>
      <c r="C96" s="12" t="s">
        <v>49</v>
      </c>
      <c r="D96" s="14">
        <v>45329</v>
      </c>
      <c r="E96" s="19">
        <v>45429</v>
      </c>
      <c r="F96" s="6">
        <v>8885.9500000000007</v>
      </c>
      <c r="G96" s="6" t="s">
        <v>47</v>
      </c>
      <c r="H96" s="18">
        <v>45429</v>
      </c>
      <c r="I96" s="17">
        <f>IF(G96="Paid",D96,IF(OR(G96="Pending",G96="Overdue"),E96,"Invalid Status"))</f>
        <v>45429</v>
      </c>
    </row>
    <row r="97" spans="1:9">
      <c r="A97" s="6" t="s">
        <v>145</v>
      </c>
      <c r="B97" s="13" t="str">
        <f t="shared" si="1"/>
        <v>ORD81676</v>
      </c>
      <c r="C97" s="12" t="s">
        <v>46</v>
      </c>
      <c r="D97" s="14">
        <v>45511</v>
      </c>
      <c r="E97" s="19">
        <v>45511</v>
      </c>
      <c r="F97" s="6">
        <v>31525.57</v>
      </c>
      <c r="G97" s="6" t="s">
        <v>50</v>
      </c>
      <c r="H97" s="18">
        <v>45511</v>
      </c>
      <c r="I97" s="17">
        <f>IF(G97="Paid",D97,IF(OR(G97="Pending",G97="Overdue"),E97,"Invalid Status"))</f>
        <v>45511</v>
      </c>
    </row>
    <row r="98" spans="1:9">
      <c r="A98" s="6" t="s">
        <v>146</v>
      </c>
      <c r="B98" s="13" t="str">
        <f t="shared" si="1"/>
        <v>ORD81677</v>
      </c>
      <c r="C98" s="12" t="s">
        <v>46</v>
      </c>
      <c r="D98" s="14">
        <v>45349</v>
      </c>
      <c r="E98" s="19">
        <v>45415</v>
      </c>
      <c r="F98" s="6">
        <v>30521.58</v>
      </c>
      <c r="G98" s="6" t="s">
        <v>47</v>
      </c>
      <c r="H98" s="18">
        <v>45415</v>
      </c>
      <c r="I98" s="17">
        <f>IF(G98="Paid",D98,IF(OR(G98="Pending",G98="Overdue"),E98,"Invalid Status"))</f>
        <v>45415</v>
      </c>
    </row>
    <row r="99" spans="1:9">
      <c r="A99" s="6" t="s">
        <v>147</v>
      </c>
      <c r="B99" s="13" t="str">
        <f t="shared" si="1"/>
        <v>ORD81678</v>
      </c>
      <c r="C99" s="12" t="s">
        <v>44</v>
      </c>
      <c r="D99" s="14">
        <v>45408</v>
      </c>
      <c r="E99" s="19">
        <v>45301</v>
      </c>
      <c r="F99" s="6">
        <v>41398.949999999997</v>
      </c>
      <c r="G99" s="6" t="s">
        <v>47</v>
      </c>
      <c r="H99" s="18">
        <v>45301</v>
      </c>
      <c r="I99" s="17">
        <f>IF(G99="Paid",D99,IF(OR(G99="Pending",G99="Overdue"),E99,"Invalid Status"))</f>
        <v>45301</v>
      </c>
    </row>
    <row r="100" spans="1:9">
      <c r="A100" s="6" t="s">
        <v>148</v>
      </c>
      <c r="B100" s="13" t="str">
        <f t="shared" si="1"/>
        <v>ORD81679</v>
      </c>
      <c r="C100" s="12" t="s">
        <v>46</v>
      </c>
      <c r="D100" s="14">
        <v>45343</v>
      </c>
      <c r="E100" s="19">
        <v>45343</v>
      </c>
      <c r="F100" s="6">
        <v>10680.97</v>
      </c>
      <c r="G100" s="6" t="s">
        <v>50</v>
      </c>
      <c r="H100" s="18">
        <v>45343</v>
      </c>
      <c r="I100" s="17">
        <f>IF(G100="Paid",D100,IF(OR(G100="Pending",G100="Overdue"),E100,"Invalid Status"))</f>
        <v>45343</v>
      </c>
    </row>
    <row r="101" spans="1:9">
      <c r="A101" s="6" t="s">
        <v>149</v>
      </c>
      <c r="B101" s="13" t="str">
        <f t="shared" si="1"/>
        <v>ORD81680</v>
      </c>
      <c r="C101" s="12" t="s">
        <v>44</v>
      </c>
      <c r="D101" s="14">
        <v>45517</v>
      </c>
      <c r="E101" s="19">
        <v>45517</v>
      </c>
      <c r="F101" s="6">
        <v>46690.3</v>
      </c>
      <c r="G101" s="6" t="s">
        <v>50</v>
      </c>
      <c r="H101" s="18">
        <v>45517</v>
      </c>
      <c r="I101" s="17">
        <f>IF(G101="Paid",D101,IF(OR(G101="Pending",G101="Overdue"),E101,"Invalid Status"))</f>
        <v>45517</v>
      </c>
    </row>
    <row r="102" spans="1:9">
      <c r="A102" s="6" t="s">
        <v>150</v>
      </c>
      <c r="B102" s="13" t="str">
        <f t="shared" si="1"/>
        <v>ORD81681</v>
      </c>
      <c r="C102" s="12" t="s">
        <v>49</v>
      </c>
      <c r="D102" s="14">
        <v>45582</v>
      </c>
      <c r="E102" s="19">
        <v>45582</v>
      </c>
      <c r="F102" s="6">
        <v>42754.71</v>
      </c>
      <c r="G102" s="6" t="s">
        <v>50</v>
      </c>
      <c r="H102" s="18">
        <v>45582</v>
      </c>
      <c r="I102" s="17">
        <f>IF(G102="Paid",D102,IF(OR(G102="Pending",G102="Overdue"),E102,"Invalid Status"))</f>
        <v>45582</v>
      </c>
    </row>
    <row r="103" spans="1:9">
      <c r="A103" s="6" t="s">
        <v>151</v>
      </c>
      <c r="B103" s="13" t="str">
        <f t="shared" si="1"/>
        <v>ORD81682</v>
      </c>
      <c r="C103" s="12" t="s">
        <v>44</v>
      </c>
      <c r="D103" s="14">
        <v>45493</v>
      </c>
      <c r="E103" s="19">
        <v>45297</v>
      </c>
      <c r="F103" s="6">
        <v>6451.16</v>
      </c>
      <c r="G103" s="6" t="s">
        <v>47</v>
      </c>
      <c r="H103" s="18">
        <v>45297</v>
      </c>
      <c r="I103" s="17">
        <f>IF(G103="Paid",D103,IF(OR(G103="Pending",G103="Overdue"),E103,"Invalid Status"))</f>
        <v>45297</v>
      </c>
    </row>
    <row r="104" spans="1:9">
      <c r="A104" s="6" t="s">
        <v>152</v>
      </c>
      <c r="B104" s="13" t="str">
        <f t="shared" si="1"/>
        <v>ORD81683</v>
      </c>
      <c r="C104" s="12" t="s">
        <v>44</v>
      </c>
      <c r="D104" s="14">
        <v>45410</v>
      </c>
      <c r="E104" s="19">
        <v>45471</v>
      </c>
      <c r="F104" s="6">
        <v>16472.25</v>
      </c>
      <c r="G104" s="6" t="s">
        <v>47</v>
      </c>
      <c r="H104" s="18">
        <v>45471</v>
      </c>
      <c r="I104" s="17">
        <f>IF(G104="Paid",D104,IF(OR(G104="Pending",G104="Overdue"),E104,"Invalid Status"))</f>
        <v>45471</v>
      </c>
    </row>
    <row r="105" spans="1:9">
      <c r="A105" s="6" t="s">
        <v>153</v>
      </c>
      <c r="B105" s="13" t="str">
        <f t="shared" si="1"/>
        <v>ORD81684</v>
      </c>
      <c r="C105" s="12" t="s">
        <v>44</v>
      </c>
      <c r="D105" s="14">
        <v>45288</v>
      </c>
      <c r="E105" s="19">
        <v>45283</v>
      </c>
      <c r="F105" s="6">
        <v>46438.84</v>
      </c>
      <c r="G105" s="6" t="s">
        <v>42</v>
      </c>
      <c r="H105" s="18">
        <v>45283</v>
      </c>
      <c r="I105" s="17">
        <f>IF(G105="Paid",D105,IF(OR(G105="Pending",G105="Overdue"),E105,"Invalid Status"))</f>
        <v>45283</v>
      </c>
    </row>
    <row r="106" spans="1:9">
      <c r="A106" s="6" t="s">
        <v>154</v>
      </c>
      <c r="B106" s="13" t="str">
        <f t="shared" si="1"/>
        <v>ORD81685</v>
      </c>
      <c r="C106" s="12" t="s">
        <v>41</v>
      </c>
      <c r="D106" s="14">
        <v>45436</v>
      </c>
      <c r="E106" s="19">
        <v>45376</v>
      </c>
      <c r="F106" s="6">
        <v>11165.16</v>
      </c>
      <c r="G106" s="6" t="s">
        <v>42</v>
      </c>
      <c r="H106" s="18">
        <v>45376</v>
      </c>
      <c r="I106" s="17">
        <f>IF(G106="Paid",D106,IF(OR(G106="Pending",G106="Overdue"),E106,"Invalid Status"))</f>
        <v>45376</v>
      </c>
    </row>
    <row r="107" spans="1:9">
      <c r="A107" s="6" t="s">
        <v>155</v>
      </c>
      <c r="B107" s="13" t="str">
        <f t="shared" si="1"/>
        <v>ORD81686</v>
      </c>
      <c r="C107" s="12" t="s">
        <v>41</v>
      </c>
      <c r="D107" s="14">
        <v>45405</v>
      </c>
      <c r="E107" s="19">
        <v>45529</v>
      </c>
      <c r="F107" s="6">
        <v>29279.07</v>
      </c>
      <c r="G107" s="6" t="s">
        <v>42</v>
      </c>
      <c r="H107" s="18">
        <v>45529</v>
      </c>
      <c r="I107" s="17">
        <f>IF(G107="Paid",D107,IF(OR(G107="Pending",G107="Overdue"),E107,"Invalid Status"))</f>
        <v>45529</v>
      </c>
    </row>
    <row r="108" spans="1:9">
      <c r="A108" s="6" t="s">
        <v>156</v>
      </c>
      <c r="B108" s="13" t="str">
        <f t="shared" si="1"/>
        <v>ORD81687</v>
      </c>
      <c r="C108" s="12" t="s">
        <v>49</v>
      </c>
      <c r="D108" s="14">
        <v>45505</v>
      </c>
      <c r="E108" s="19">
        <v>45505</v>
      </c>
      <c r="F108" s="6">
        <v>33745.56</v>
      </c>
      <c r="G108" s="6" t="s">
        <v>50</v>
      </c>
      <c r="H108" s="18">
        <v>45505</v>
      </c>
      <c r="I108" s="17">
        <f>IF(G108="Paid",D108,IF(OR(G108="Pending",G108="Overdue"),E108,"Invalid Status"))</f>
        <v>45505</v>
      </c>
    </row>
    <row r="109" spans="1:9">
      <c r="A109" s="6" t="s">
        <v>157</v>
      </c>
      <c r="B109" s="13" t="str">
        <f t="shared" si="1"/>
        <v>ORD81688</v>
      </c>
      <c r="C109" s="12" t="s">
        <v>41</v>
      </c>
      <c r="D109" s="14">
        <v>45574</v>
      </c>
      <c r="E109" s="19">
        <v>45643</v>
      </c>
      <c r="F109" s="6">
        <v>40640.400000000001</v>
      </c>
      <c r="G109" s="6" t="s">
        <v>42</v>
      </c>
      <c r="H109" s="18">
        <v>45643</v>
      </c>
      <c r="I109" s="17">
        <f>IF(G109="Paid",D109,IF(OR(G109="Pending",G109="Overdue"),E109,"Invalid Status"))</f>
        <v>45643</v>
      </c>
    </row>
    <row r="110" spans="1:9">
      <c r="A110" s="6" t="s">
        <v>158</v>
      </c>
      <c r="B110" s="13" t="str">
        <f t="shared" si="1"/>
        <v>ORD81689</v>
      </c>
      <c r="C110" s="12" t="s">
        <v>44</v>
      </c>
      <c r="D110" s="14">
        <v>45303</v>
      </c>
      <c r="E110" s="19">
        <v>45488</v>
      </c>
      <c r="F110" s="6">
        <v>42985.95</v>
      </c>
      <c r="G110" s="6" t="s">
        <v>42</v>
      </c>
      <c r="H110" s="18">
        <v>45488</v>
      </c>
      <c r="I110" s="17">
        <f>IF(G110="Paid",D110,IF(OR(G110="Pending",G110="Overdue"),E110,"Invalid Status"))</f>
        <v>45488</v>
      </c>
    </row>
    <row r="111" spans="1:9">
      <c r="A111" s="6" t="s">
        <v>159</v>
      </c>
      <c r="B111" s="13" t="str">
        <f t="shared" si="1"/>
        <v>ORD81690</v>
      </c>
      <c r="C111" s="12" t="s">
        <v>46</v>
      </c>
      <c r="D111" s="14">
        <v>45511</v>
      </c>
      <c r="E111" s="19">
        <v>45511</v>
      </c>
      <c r="F111" s="6">
        <v>21140.35</v>
      </c>
      <c r="G111" s="6" t="s">
        <v>50</v>
      </c>
      <c r="H111" s="18">
        <v>45511</v>
      </c>
      <c r="I111" s="17">
        <f>IF(G111="Paid",D111,IF(OR(G111="Pending",G111="Overdue"),E111,"Invalid Status"))</f>
        <v>45511</v>
      </c>
    </row>
    <row r="112" spans="1:9">
      <c r="A112" s="6" t="s">
        <v>160</v>
      </c>
      <c r="B112" s="13" t="str">
        <f t="shared" si="1"/>
        <v>ORD81691</v>
      </c>
      <c r="C112" s="12" t="s">
        <v>44</v>
      </c>
      <c r="D112" s="14">
        <v>45407</v>
      </c>
      <c r="E112" s="19">
        <v>45407</v>
      </c>
      <c r="F112" s="6">
        <v>37105.800000000003</v>
      </c>
      <c r="G112" s="6" t="s">
        <v>50</v>
      </c>
      <c r="H112" s="18">
        <v>45407</v>
      </c>
      <c r="I112" s="17">
        <f>IF(G112="Paid",D112,IF(OR(G112="Pending",G112="Overdue"),E112,"Invalid Status"))</f>
        <v>45407</v>
      </c>
    </row>
    <row r="113" spans="1:9">
      <c r="A113" s="6" t="s">
        <v>161</v>
      </c>
      <c r="B113" s="13" t="str">
        <f t="shared" si="1"/>
        <v>ORD81692</v>
      </c>
      <c r="C113" s="12" t="s">
        <v>46</v>
      </c>
      <c r="D113" s="14">
        <v>45634</v>
      </c>
      <c r="E113" s="19">
        <v>45322</v>
      </c>
      <c r="F113" s="6">
        <v>11315.08</v>
      </c>
      <c r="G113" s="6" t="s">
        <v>47</v>
      </c>
      <c r="H113" s="18">
        <v>45322</v>
      </c>
      <c r="I113" s="17">
        <f>IF(G113="Paid",D113,IF(OR(G113="Pending",G113="Overdue"),E113,"Invalid Status"))</f>
        <v>45322</v>
      </c>
    </row>
    <row r="114" spans="1:9">
      <c r="A114" s="6" t="s">
        <v>162</v>
      </c>
      <c r="B114" s="13" t="str">
        <f t="shared" si="1"/>
        <v>ORD81693</v>
      </c>
      <c r="C114" s="12" t="s">
        <v>41</v>
      </c>
      <c r="D114" s="14">
        <v>45361</v>
      </c>
      <c r="E114" s="19">
        <v>45308</v>
      </c>
      <c r="F114" s="6">
        <v>22554.18</v>
      </c>
      <c r="G114" s="6" t="s">
        <v>47</v>
      </c>
      <c r="H114" s="18">
        <v>45308</v>
      </c>
      <c r="I114" s="17">
        <f>IF(G114="Paid",D114,IF(OR(G114="Pending",G114="Overdue"),E114,"Invalid Status"))</f>
        <v>45308</v>
      </c>
    </row>
    <row r="115" spans="1:9">
      <c r="A115" s="6" t="s">
        <v>163</v>
      </c>
      <c r="B115" s="13" t="str">
        <f t="shared" si="1"/>
        <v>ORD81694</v>
      </c>
      <c r="C115" s="12" t="s">
        <v>41</v>
      </c>
      <c r="D115" s="14">
        <v>45535</v>
      </c>
      <c r="E115" s="19">
        <v>45366</v>
      </c>
      <c r="F115" s="6">
        <v>19030.27</v>
      </c>
      <c r="G115" s="6" t="s">
        <v>42</v>
      </c>
      <c r="H115" s="18">
        <v>45366</v>
      </c>
      <c r="I115" s="17">
        <f>IF(G115="Paid",D115,IF(OR(G115="Pending",G115="Overdue"),E115,"Invalid Status"))</f>
        <v>45366</v>
      </c>
    </row>
    <row r="116" spans="1:9">
      <c r="A116" s="6" t="s">
        <v>164</v>
      </c>
      <c r="B116" s="13" t="str">
        <f t="shared" si="1"/>
        <v>ORD81695</v>
      </c>
      <c r="C116" s="12" t="s">
        <v>41</v>
      </c>
      <c r="D116" s="14">
        <v>45367</v>
      </c>
      <c r="E116" s="19">
        <v>45367</v>
      </c>
      <c r="F116" s="6">
        <v>1471.7</v>
      </c>
      <c r="G116" s="6" t="s">
        <v>50</v>
      </c>
      <c r="H116" s="18">
        <v>45367</v>
      </c>
      <c r="I116" s="17">
        <f>IF(G116="Paid",D116,IF(OR(G116="Pending",G116="Overdue"),E116,"Invalid Status"))</f>
        <v>45367</v>
      </c>
    </row>
    <row r="117" spans="1:9">
      <c r="A117" s="6" t="s">
        <v>165</v>
      </c>
      <c r="B117" s="13" t="str">
        <f t="shared" si="1"/>
        <v>ORD81696</v>
      </c>
      <c r="C117" s="12" t="s">
        <v>49</v>
      </c>
      <c r="D117" s="14">
        <v>45527</v>
      </c>
      <c r="E117" s="19">
        <v>45472</v>
      </c>
      <c r="F117" s="6">
        <v>40619.949999999997</v>
      </c>
      <c r="G117" s="6" t="s">
        <v>42</v>
      </c>
      <c r="H117" s="18">
        <v>45472</v>
      </c>
      <c r="I117" s="17">
        <f>IF(G117="Paid",D117,IF(OR(G117="Pending",G117="Overdue"),E117,"Invalid Status"))</f>
        <v>45472</v>
      </c>
    </row>
    <row r="118" spans="1:9">
      <c r="A118" s="6" t="s">
        <v>166</v>
      </c>
      <c r="B118" s="13" t="str">
        <f t="shared" si="1"/>
        <v>ORD81697</v>
      </c>
      <c r="C118" s="12" t="s">
        <v>46</v>
      </c>
      <c r="D118" s="14">
        <v>45632</v>
      </c>
      <c r="E118" s="19">
        <v>45632</v>
      </c>
      <c r="F118" s="6">
        <v>4958.1099999999997</v>
      </c>
      <c r="G118" s="6" t="s">
        <v>50</v>
      </c>
      <c r="H118" s="18">
        <v>45632</v>
      </c>
      <c r="I118" s="17">
        <f>IF(G118="Paid",D118,IF(OR(G118="Pending",G118="Overdue"),E118,"Invalid Status"))</f>
        <v>45632</v>
      </c>
    </row>
    <row r="119" spans="1:9">
      <c r="A119" s="6" t="s">
        <v>167</v>
      </c>
      <c r="B119" s="13" t="str">
        <f t="shared" si="1"/>
        <v>ORD81698</v>
      </c>
      <c r="C119" s="12" t="s">
        <v>41</v>
      </c>
      <c r="D119" s="14">
        <v>45406</v>
      </c>
      <c r="E119" s="19">
        <v>45422</v>
      </c>
      <c r="F119" s="6">
        <v>26731.16</v>
      </c>
      <c r="G119" s="6" t="s">
        <v>47</v>
      </c>
      <c r="H119" s="18">
        <v>45422</v>
      </c>
      <c r="I119" s="17">
        <f>IF(G119="Paid",D119,IF(OR(G119="Pending",G119="Overdue"),E119,"Invalid Status"))</f>
        <v>45422</v>
      </c>
    </row>
    <row r="120" spans="1:9">
      <c r="A120" s="6" t="s">
        <v>168</v>
      </c>
      <c r="B120" s="13" t="str">
        <f t="shared" si="1"/>
        <v>ORD81699</v>
      </c>
      <c r="C120" s="12" t="s">
        <v>46</v>
      </c>
      <c r="D120" s="14">
        <v>45436</v>
      </c>
      <c r="E120" s="19">
        <v>45330</v>
      </c>
      <c r="F120" s="6">
        <v>43310.74</v>
      </c>
      <c r="G120" s="6" t="s">
        <v>42</v>
      </c>
      <c r="H120" s="18">
        <v>45330</v>
      </c>
      <c r="I120" s="17">
        <f>IF(G120="Paid",D120,IF(OR(G120="Pending",G120="Overdue"),E120,"Invalid Status"))</f>
        <v>45330</v>
      </c>
    </row>
    <row r="121" spans="1:9">
      <c r="A121" s="6" t="s">
        <v>169</v>
      </c>
      <c r="B121" s="13" t="str">
        <f t="shared" si="1"/>
        <v>ORD81700</v>
      </c>
      <c r="C121" s="12" t="s">
        <v>49</v>
      </c>
      <c r="D121" s="14">
        <v>45379</v>
      </c>
      <c r="E121" s="19">
        <v>45401</v>
      </c>
      <c r="F121" s="6">
        <v>45589.21</v>
      </c>
      <c r="G121" s="6" t="s">
        <v>42</v>
      </c>
      <c r="H121" s="18">
        <v>45401</v>
      </c>
      <c r="I121" s="17">
        <f>IF(G121="Paid",D121,IF(OR(G121="Pending",G121="Overdue"),E121,"Invalid Status"))</f>
        <v>45401</v>
      </c>
    </row>
    <row r="122" spans="1:9">
      <c r="A122" s="6" t="s">
        <v>170</v>
      </c>
      <c r="B122" s="13" t="str">
        <f t="shared" si="1"/>
        <v>ORD81701</v>
      </c>
      <c r="C122" s="12" t="s">
        <v>44</v>
      </c>
      <c r="D122" s="14">
        <v>45556</v>
      </c>
      <c r="E122" s="19">
        <v>45556</v>
      </c>
      <c r="F122" s="6">
        <v>13305.37</v>
      </c>
      <c r="G122" s="6" t="s">
        <v>50</v>
      </c>
      <c r="H122" s="18">
        <v>45556</v>
      </c>
      <c r="I122" s="17">
        <f>IF(G122="Paid",D122,IF(OR(G122="Pending",G122="Overdue"),E122,"Invalid Status"))</f>
        <v>45556</v>
      </c>
    </row>
    <row r="123" spans="1:9">
      <c r="A123" s="6" t="s">
        <v>171</v>
      </c>
      <c r="B123" s="13" t="str">
        <f t="shared" si="1"/>
        <v>ORD81702</v>
      </c>
      <c r="C123" s="12" t="s">
        <v>46</v>
      </c>
      <c r="D123" s="14">
        <v>45378</v>
      </c>
      <c r="E123" s="19">
        <v>45378</v>
      </c>
      <c r="F123" s="6">
        <v>7947.75</v>
      </c>
      <c r="G123" s="6" t="s">
        <v>50</v>
      </c>
      <c r="H123" s="18">
        <v>45378</v>
      </c>
      <c r="I123" s="17">
        <f>IF(G123="Paid",D123,IF(OR(G123="Pending",G123="Overdue"),E123,"Invalid Status"))</f>
        <v>45378</v>
      </c>
    </row>
    <row r="124" spans="1:9">
      <c r="A124" s="6" t="s">
        <v>172</v>
      </c>
      <c r="B124" s="13" t="str">
        <f t="shared" si="1"/>
        <v>ORD81703</v>
      </c>
      <c r="C124" s="12" t="s">
        <v>49</v>
      </c>
      <c r="D124" s="14">
        <v>45600</v>
      </c>
      <c r="E124" s="19">
        <v>45524</v>
      </c>
      <c r="F124" s="6">
        <v>29379.95</v>
      </c>
      <c r="G124" s="6" t="s">
        <v>42</v>
      </c>
      <c r="H124" s="18">
        <v>45524</v>
      </c>
      <c r="I124" s="17">
        <f>IF(G124="Paid",D124,IF(OR(G124="Pending",G124="Overdue"),E124,"Invalid Status"))</f>
        <v>45524</v>
      </c>
    </row>
    <row r="125" spans="1:9">
      <c r="A125" s="6" t="s">
        <v>173</v>
      </c>
      <c r="B125" s="13" t="str">
        <f t="shared" si="1"/>
        <v>ORD81704</v>
      </c>
      <c r="C125" s="12" t="s">
        <v>46</v>
      </c>
      <c r="D125" s="14">
        <v>45522</v>
      </c>
      <c r="E125" s="19">
        <v>45626</v>
      </c>
      <c r="F125" s="6">
        <v>44584.04</v>
      </c>
      <c r="G125" s="6" t="s">
        <v>47</v>
      </c>
      <c r="H125" s="18">
        <v>45626</v>
      </c>
      <c r="I125" s="17">
        <f>IF(G125="Paid",D125,IF(OR(G125="Pending",G125="Overdue"),E125,"Invalid Status"))</f>
        <v>45626</v>
      </c>
    </row>
    <row r="126" spans="1:9">
      <c r="A126" s="6" t="s">
        <v>174</v>
      </c>
      <c r="B126" s="13" t="str">
        <f t="shared" si="1"/>
        <v>ORD81705</v>
      </c>
      <c r="C126" s="12" t="s">
        <v>49</v>
      </c>
      <c r="D126" s="14">
        <v>45592</v>
      </c>
      <c r="E126" s="19">
        <v>45341</v>
      </c>
      <c r="F126" s="6">
        <v>44949.13</v>
      </c>
      <c r="G126" s="6" t="s">
        <v>47</v>
      </c>
      <c r="H126" s="18">
        <v>45341</v>
      </c>
      <c r="I126" s="17">
        <f>IF(G126="Paid",D126,IF(OR(G126="Pending",G126="Overdue"),E126,"Invalid Status"))</f>
        <v>45341</v>
      </c>
    </row>
    <row r="127" spans="1:9">
      <c r="A127" s="6" t="s">
        <v>175</v>
      </c>
      <c r="B127" s="13" t="str">
        <f t="shared" si="1"/>
        <v>ORD81706</v>
      </c>
      <c r="C127" s="12" t="s">
        <v>49</v>
      </c>
      <c r="D127" s="14">
        <v>45468</v>
      </c>
      <c r="E127" s="19">
        <v>45377</v>
      </c>
      <c r="F127" s="6">
        <v>35275.21</v>
      </c>
      <c r="G127" s="6" t="s">
        <v>47</v>
      </c>
      <c r="H127" s="18">
        <v>45377</v>
      </c>
      <c r="I127" s="17">
        <f>IF(G127="Paid",D127,IF(OR(G127="Pending",G127="Overdue"),E127,"Invalid Status"))</f>
        <v>45377</v>
      </c>
    </row>
    <row r="128" spans="1:9">
      <c r="A128" s="6" t="s">
        <v>176</v>
      </c>
      <c r="B128" s="13" t="str">
        <f t="shared" si="1"/>
        <v>ORD81707</v>
      </c>
      <c r="C128" s="12" t="s">
        <v>49</v>
      </c>
      <c r="D128" s="14">
        <v>45399</v>
      </c>
      <c r="E128" s="19">
        <v>45280</v>
      </c>
      <c r="F128" s="6">
        <v>21520.52</v>
      </c>
      <c r="G128" s="6" t="s">
        <v>42</v>
      </c>
      <c r="H128" s="18">
        <v>45280</v>
      </c>
      <c r="I128" s="17">
        <f>IF(G128="Paid",D128,IF(OR(G128="Pending",G128="Overdue"),E128,"Invalid Status"))</f>
        <v>45280</v>
      </c>
    </row>
    <row r="129" spans="1:9">
      <c r="A129" s="6" t="s">
        <v>177</v>
      </c>
      <c r="B129" s="13" t="str">
        <f t="shared" si="1"/>
        <v>ORD81708</v>
      </c>
      <c r="C129" s="12" t="s">
        <v>46</v>
      </c>
      <c r="D129" s="14">
        <v>45598</v>
      </c>
      <c r="E129" s="19">
        <v>45375</v>
      </c>
      <c r="F129" s="6">
        <v>13820.09</v>
      </c>
      <c r="G129" s="6" t="s">
        <v>47</v>
      </c>
      <c r="H129" s="18">
        <v>45375</v>
      </c>
      <c r="I129" s="17">
        <f>IF(G129="Paid",D129,IF(OR(G129="Pending",G129="Overdue"),E129,"Invalid Status"))</f>
        <v>45375</v>
      </c>
    </row>
    <row r="130" spans="1:9">
      <c r="A130" s="6" t="s">
        <v>178</v>
      </c>
      <c r="B130" s="13" t="str">
        <f t="shared" si="1"/>
        <v>ORD81709</v>
      </c>
      <c r="C130" s="12" t="s">
        <v>41</v>
      </c>
      <c r="D130" s="14">
        <v>45278</v>
      </c>
      <c r="E130" s="19">
        <v>45278</v>
      </c>
      <c r="F130" s="6">
        <v>23897.69</v>
      </c>
      <c r="G130" s="6" t="s">
        <v>50</v>
      </c>
      <c r="H130" s="18">
        <v>45278</v>
      </c>
      <c r="I130" s="17">
        <f>IF(G130="Paid",D130,IF(OR(G130="Pending",G130="Overdue"),E130,"Invalid Status"))</f>
        <v>45278</v>
      </c>
    </row>
    <row r="131" spans="1:9">
      <c r="A131" s="6" t="s">
        <v>179</v>
      </c>
      <c r="B131" s="13" t="str">
        <f t="shared" si="1"/>
        <v>ORD81710</v>
      </c>
      <c r="C131" s="12" t="s">
        <v>41</v>
      </c>
      <c r="D131" s="14">
        <v>45468</v>
      </c>
      <c r="E131" s="19">
        <v>45632</v>
      </c>
      <c r="F131" s="6">
        <v>47765.07</v>
      </c>
      <c r="G131" s="6" t="s">
        <v>47</v>
      </c>
      <c r="H131" s="18">
        <v>45632</v>
      </c>
      <c r="I131" s="17">
        <f>IF(G131="Paid",D131,IF(OR(G131="Pending",G131="Overdue"),E131,"Invalid Status"))</f>
        <v>45632</v>
      </c>
    </row>
    <row r="132" spans="1:9">
      <c r="A132" s="6" t="s">
        <v>180</v>
      </c>
      <c r="B132" s="13" t="str">
        <f t="shared" ref="B132:B195" si="2">"ORD" &amp; TEXT(RIGHT(B131,5) +1, "00000")</f>
        <v>ORD81711</v>
      </c>
      <c r="C132" s="12" t="s">
        <v>44</v>
      </c>
      <c r="D132" s="14">
        <v>45299</v>
      </c>
      <c r="E132" s="19">
        <v>45512</v>
      </c>
      <c r="F132" s="6">
        <v>49465.120000000003</v>
      </c>
      <c r="G132" s="6" t="s">
        <v>42</v>
      </c>
      <c r="H132" s="18">
        <v>45512</v>
      </c>
      <c r="I132" s="17">
        <f>IF(G132="Paid",D132,IF(OR(G132="Pending",G132="Overdue"),E132,"Invalid Status"))</f>
        <v>45512</v>
      </c>
    </row>
    <row r="133" spans="1:9">
      <c r="A133" s="6" t="s">
        <v>181</v>
      </c>
      <c r="B133" s="13" t="str">
        <f t="shared" si="2"/>
        <v>ORD81712</v>
      </c>
      <c r="C133" s="12" t="s">
        <v>44</v>
      </c>
      <c r="D133" s="14">
        <v>45335</v>
      </c>
      <c r="E133" s="19">
        <v>45335</v>
      </c>
      <c r="F133" s="6">
        <v>24741.9</v>
      </c>
      <c r="G133" s="6" t="s">
        <v>50</v>
      </c>
      <c r="H133" s="18">
        <v>45335</v>
      </c>
      <c r="I133" s="17">
        <f>IF(G133="Paid",D133,IF(OR(G133="Pending",G133="Overdue"),E133,"Invalid Status"))</f>
        <v>45335</v>
      </c>
    </row>
    <row r="134" spans="1:9">
      <c r="A134" s="6" t="s">
        <v>182</v>
      </c>
      <c r="B134" s="13" t="str">
        <f t="shared" si="2"/>
        <v>ORD81713</v>
      </c>
      <c r="C134" s="12" t="s">
        <v>44</v>
      </c>
      <c r="D134" s="14">
        <v>45580</v>
      </c>
      <c r="E134" s="19">
        <v>45510</v>
      </c>
      <c r="F134" s="6">
        <v>18596.97</v>
      </c>
      <c r="G134" s="6" t="s">
        <v>47</v>
      </c>
      <c r="H134" s="18">
        <v>45510</v>
      </c>
      <c r="I134" s="17">
        <f>IF(G134="Paid",D134,IF(OR(G134="Pending",G134="Overdue"),E134,"Invalid Status"))</f>
        <v>45510</v>
      </c>
    </row>
    <row r="135" spans="1:9">
      <c r="A135" s="6" t="s">
        <v>183</v>
      </c>
      <c r="B135" s="13" t="str">
        <f t="shared" si="2"/>
        <v>ORD81714</v>
      </c>
      <c r="C135" s="12" t="s">
        <v>44</v>
      </c>
      <c r="D135" s="14">
        <v>45299</v>
      </c>
      <c r="E135" s="19">
        <v>45299</v>
      </c>
      <c r="F135" s="6">
        <v>41401.46</v>
      </c>
      <c r="G135" s="6" t="s">
        <v>50</v>
      </c>
      <c r="H135" s="18">
        <v>45299</v>
      </c>
      <c r="I135" s="17">
        <f>IF(G135="Paid",D135,IF(OR(G135="Pending",G135="Overdue"),E135,"Invalid Status"))</f>
        <v>45299</v>
      </c>
    </row>
    <row r="136" spans="1:9">
      <c r="A136" s="6" t="s">
        <v>184</v>
      </c>
      <c r="B136" s="13" t="str">
        <f t="shared" si="2"/>
        <v>ORD81715</v>
      </c>
      <c r="C136" s="12" t="s">
        <v>44</v>
      </c>
      <c r="D136" s="14">
        <v>45596</v>
      </c>
      <c r="E136" s="19">
        <v>45499</v>
      </c>
      <c r="F136" s="6">
        <v>3500.24</v>
      </c>
      <c r="G136" s="6" t="s">
        <v>47</v>
      </c>
      <c r="H136" s="18">
        <v>45499</v>
      </c>
      <c r="I136" s="17">
        <f>IF(G136="Paid",D136,IF(OR(G136="Pending",G136="Overdue"),E136,"Invalid Status"))</f>
        <v>45499</v>
      </c>
    </row>
    <row r="137" spans="1:9">
      <c r="A137" s="6" t="s">
        <v>185</v>
      </c>
      <c r="B137" s="13" t="str">
        <f t="shared" si="2"/>
        <v>ORD81716</v>
      </c>
      <c r="C137" s="12" t="s">
        <v>46</v>
      </c>
      <c r="D137" s="14">
        <v>45544</v>
      </c>
      <c r="E137" s="19">
        <v>45544</v>
      </c>
      <c r="F137" s="6">
        <v>30442</v>
      </c>
      <c r="G137" s="6" t="s">
        <v>50</v>
      </c>
      <c r="H137" s="18">
        <v>45544</v>
      </c>
      <c r="I137" s="17">
        <f>IF(G137="Paid",D137,IF(OR(G137="Pending",G137="Overdue"),E137,"Invalid Status"))</f>
        <v>45544</v>
      </c>
    </row>
    <row r="138" spans="1:9">
      <c r="A138" s="6" t="s">
        <v>186</v>
      </c>
      <c r="B138" s="13" t="str">
        <f t="shared" si="2"/>
        <v>ORD81717</v>
      </c>
      <c r="C138" s="12" t="s">
        <v>44</v>
      </c>
      <c r="D138" s="14">
        <v>45631</v>
      </c>
      <c r="E138" s="19">
        <v>45631</v>
      </c>
      <c r="F138" s="6">
        <v>47934.09</v>
      </c>
      <c r="G138" s="6" t="s">
        <v>50</v>
      </c>
      <c r="H138" s="18">
        <v>45631</v>
      </c>
      <c r="I138" s="17">
        <f>IF(G138="Paid",D138,IF(OR(G138="Pending",G138="Overdue"),E138,"Invalid Status"))</f>
        <v>45631</v>
      </c>
    </row>
    <row r="139" spans="1:9">
      <c r="A139" s="6" t="s">
        <v>187</v>
      </c>
      <c r="B139" s="13" t="str">
        <f t="shared" si="2"/>
        <v>ORD81718</v>
      </c>
      <c r="C139" s="12" t="s">
        <v>44</v>
      </c>
      <c r="D139" s="14">
        <v>45391</v>
      </c>
      <c r="E139" s="19">
        <v>45391</v>
      </c>
      <c r="F139" s="6">
        <v>8577.8799999999992</v>
      </c>
      <c r="G139" s="6" t="s">
        <v>50</v>
      </c>
      <c r="H139" s="18">
        <v>45391</v>
      </c>
      <c r="I139" s="17">
        <f>IF(G139="Paid",D139,IF(OR(G139="Pending",G139="Overdue"),E139,"Invalid Status"))</f>
        <v>45391</v>
      </c>
    </row>
    <row r="140" spans="1:9">
      <c r="A140" s="6" t="s">
        <v>188</v>
      </c>
      <c r="B140" s="13" t="str">
        <f t="shared" si="2"/>
        <v>ORD81719</v>
      </c>
      <c r="C140" s="12" t="s">
        <v>41</v>
      </c>
      <c r="D140" s="14">
        <v>45501</v>
      </c>
      <c r="E140" s="19">
        <v>45602</v>
      </c>
      <c r="F140" s="6">
        <v>8591.0400000000009</v>
      </c>
      <c r="G140" s="6" t="s">
        <v>42</v>
      </c>
      <c r="H140" s="18">
        <v>45602</v>
      </c>
      <c r="I140" s="17">
        <f>IF(G140="Paid",D140,IF(OR(G140="Pending",G140="Overdue"),E140,"Invalid Status"))</f>
        <v>45602</v>
      </c>
    </row>
    <row r="141" spans="1:9">
      <c r="A141" s="6" t="s">
        <v>189</v>
      </c>
      <c r="B141" s="13" t="str">
        <f t="shared" si="2"/>
        <v>ORD81720</v>
      </c>
      <c r="C141" s="12" t="s">
        <v>41</v>
      </c>
      <c r="D141" s="14">
        <v>45459</v>
      </c>
      <c r="E141" s="19">
        <v>45280</v>
      </c>
      <c r="F141" s="6">
        <v>21713.91</v>
      </c>
      <c r="G141" s="6" t="s">
        <v>42</v>
      </c>
      <c r="H141" s="18">
        <v>45280</v>
      </c>
      <c r="I141" s="17">
        <f>IF(G141="Paid",D141,IF(OR(G141="Pending",G141="Overdue"),E141,"Invalid Status"))</f>
        <v>45280</v>
      </c>
    </row>
    <row r="142" spans="1:9">
      <c r="A142" s="6" t="s">
        <v>190</v>
      </c>
      <c r="B142" s="13" t="str">
        <f t="shared" si="2"/>
        <v>ORD81721</v>
      </c>
      <c r="C142" s="12" t="s">
        <v>49</v>
      </c>
      <c r="D142" s="14">
        <v>45586</v>
      </c>
      <c r="E142" s="19">
        <v>45281</v>
      </c>
      <c r="F142" s="6">
        <v>47427.02</v>
      </c>
      <c r="G142" s="6" t="s">
        <v>47</v>
      </c>
      <c r="H142" s="18">
        <v>45281</v>
      </c>
      <c r="I142" s="17">
        <f>IF(G142="Paid",D142,IF(OR(G142="Pending",G142="Overdue"),E142,"Invalid Status"))</f>
        <v>45281</v>
      </c>
    </row>
    <row r="143" spans="1:9">
      <c r="A143" s="6" t="s">
        <v>191</v>
      </c>
      <c r="B143" s="13" t="str">
        <f t="shared" si="2"/>
        <v>ORD81722</v>
      </c>
      <c r="C143" s="12" t="s">
        <v>41</v>
      </c>
      <c r="D143" s="14">
        <v>45284</v>
      </c>
      <c r="E143" s="19">
        <v>45284</v>
      </c>
      <c r="F143" s="6">
        <v>7924.57</v>
      </c>
      <c r="G143" s="6" t="s">
        <v>50</v>
      </c>
      <c r="H143" s="18">
        <v>45284</v>
      </c>
      <c r="I143" s="17">
        <f>IF(G143="Paid",D143,IF(OR(G143="Pending",G143="Overdue"),E143,"Invalid Status"))</f>
        <v>45284</v>
      </c>
    </row>
    <row r="144" spans="1:9">
      <c r="A144" s="6" t="s">
        <v>192</v>
      </c>
      <c r="B144" s="13" t="str">
        <f t="shared" si="2"/>
        <v>ORD81723</v>
      </c>
      <c r="C144" s="12" t="s">
        <v>46</v>
      </c>
      <c r="D144" s="14">
        <v>45396</v>
      </c>
      <c r="E144" s="19">
        <v>45396</v>
      </c>
      <c r="F144" s="6">
        <v>24588.62</v>
      </c>
      <c r="G144" s="6" t="s">
        <v>50</v>
      </c>
      <c r="H144" s="18">
        <v>45396</v>
      </c>
      <c r="I144" s="17">
        <f>IF(G144="Paid",D144,IF(OR(G144="Pending",G144="Overdue"),E144,"Invalid Status"))</f>
        <v>45396</v>
      </c>
    </row>
    <row r="145" spans="1:9">
      <c r="A145" s="6" t="s">
        <v>193</v>
      </c>
      <c r="B145" s="13" t="str">
        <f t="shared" si="2"/>
        <v>ORD81724</v>
      </c>
      <c r="C145" s="12" t="s">
        <v>46</v>
      </c>
      <c r="D145" s="14">
        <v>45552</v>
      </c>
      <c r="E145" s="19">
        <v>45481</v>
      </c>
      <c r="F145" s="6">
        <v>9091.7800000000007</v>
      </c>
      <c r="G145" s="6" t="s">
        <v>42</v>
      </c>
      <c r="H145" s="18">
        <v>45481</v>
      </c>
      <c r="I145" s="17">
        <f>IF(G145="Paid",D145,IF(OR(G145="Pending",G145="Overdue"),E145,"Invalid Status"))</f>
        <v>45481</v>
      </c>
    </row>
    <row r="146" spans="1:9">
      <c r="A146" s="6" t="s">
        <v>194</v>
      </c>
      <c r="B146" s="13" t="str">
        <f t="shared" si="2"/>
        <v>ORD81725</v>
      </c>
      <c r="C146" s="12" t="s">
        <v>41</v>
      </c>
      <c r="D146" s="14">
        <v>45442</v>
      </c>
      <c r="E146" s="19">
        <v>45429</v>
      </c>
      <c r="F146" s="6">
        <v>19335.43</v>
      </c>
      <c r="G146" s="6" t="s">
        <v>47</v>
      </c>
      <c r="H146" s="18">
        <v>45429</v>
      </c>
      <c r="I146" s="17">
        <f>IF(G146="Paid",D146,IF(OR(G146="Pending",G146="Overdue"),E146,"Invalid Status"))</f>
        <v>45429</v>
      </c>
    </row>
    <row r="147" spans="1:9">
      <c r="A147" s="6" t="s">
        <v>195</v>
      </c>
      <c r="B147" s="13" t="str">
        <f t="shared" si="2"/>
        <v>ORD81726</v>
      </c>
      <c r="C147" s="12" t="s">
        <v>41</v>
      </c>
      <c r="D147" s="14">
        <v>45532</v>
      </c>
      <c r="E147" s="19">
        <v>45449</v>
      </c>
      <c r="F147" s="6">
        <v>27963.75</v>
      </c>
      <c r="G147" s="6" t="s">
        <v>47</v>
      </c>
      <c r="H147" s="18">
        <v>45449</v>
      </c>
      <c r="I147" s="17">
        <f>IF(G147="Paid",D147,IF(OR(G147="Pending",G147="Overdue"),E147,"Invalid Status"))</f>
        <v>45449</v>
      </c>
    </row>
    <row r="148" spans="1:9">
      <c r="A148" s="6" t="s">
        <v>196</v>
      </c>
      <c r="B148" s="13" t="str">
        <f t="shared" si="2"/>
        <v>ORD81727</v>
      </c>
      <c r="C148" s="12" t="s">
        <v>44</v>
      </c>
      <c r="D148" s="14">
        <v>45462</v>
      </c>
      <c r="E148" s="19">
        <v>45462</v>
      </c>
      <c r="F148" s="6">
        <v>28617.45</v>
      </c>
      <c r="G148" s="6" t="s">
        <v>50</v>
      </c>
      <c r="H148" s="18">
        <v>45462</v>
      </c>
      <c r="I148" s="17">
        <f>IF(G148="Paid",D148,IF(OR(G148="Pending",G148="Overdue"),E148,"Invalid Status"))</f>
        <v>45462</v>
      </c>
    </row>
    <row r="149" spans="1:9">
      <c r="A149" s="6" t="s">
        <v>197</v>
      </c>
      <c r="B149" s="13" t="str">
        <f t="shared" si="2"/>
        <v>ORD81728</v>
      </c>
      <c r="C149" s="12" t="s">
        <v>41</v>
      </c>
      <c r="D149" s="14">
        <v>45465</v>
      </c>
      <c r="E149" s="19">
        <v>45629</v>
      </c>
      <c r="F149" s="6">
        <v>46848.65</v>
      </c>
      <c r="G149" s="6" t="s">
        <v>47</v>
      </c>
      <c r="H149" s="18">
        <v>45629</v>
      </c>
      <c r="I149" s="17">
        <f>IF(G149="Paid",D149,IF(OR(G149="Pending",G149="Overdue"),E149,"Invalid Status"))</f>
        <v>45629</v>
      </c>
    </row>
    <row r="150" spans="1:9">
      <c r="A150" s="6" t="s">
        <v>198</v>
      </c>
      <c r="B150" s="13" t="str">
        <f t="shared" si="2"/>
        <v>ORD81729</v>
      </c>
      <c r="C150" s="12" t="s">
        <v>41</v>
      </c>
      <c r="D150" s="14">
        <v>45525</v>
      </c>
      <c r="E150" s="19">
        <v>45615</v>
      </c>
      <c r="F150" s="6">
        <v>16292.74</v>
      </c>
      <c r="G150" s="6" t="s">
        <v>42</v>
      </c>
      <c r="H150" s="18">
        <v>45615</v>
      </c>
      <c r="I150" s="17">
        <f>IF(G150="Paid",D150,IF(OR(G150="Pending",G150="Overdue"),E150,"Invalid Status"))</f>
        <v>45615</v>
      </c>
    </row>
    <row r="151" spans="1:9">
      <c r="A151" s="6" t="s">
        <v>199</v>
      </c>
      <c r="B151" s="13" t="str">
        <f t="shared" si="2"/>
        <v>ORD81730</v>
      </c>
      <c r="C151" s="12" t="s">
        <v>49</v>
      </c>
      <c r="D151" s="14">
        <v>45289</v>
      </c>
      <c r="E151" s="19">
        <v>45289</v>
      </c>
      <c r="F151" s="6">
        <v>14531.1</v>
      </c>
      <c r="G151" s="6" t="s">
        <v>50</v>
      </c>
      <c r="H151" s="18">
        <v>45289</v>
      </c>
      <c r="I151" s="17">
        <f>IF(G151="Paid",D151,IF(OR(G151="Pending",G151="Overdue"),E151,"Invalid Status"))</f>
        <v>45289</v>
      </c>
    </row>
    <row r="152" spans="1:9">
      <c r="A152" s="6" t="s">
        <v>200</v>
      </c>
      <c r="B152" s="13" t="str">
        <f t="shared" si="2"/>
        <v>ORD81731</v>
      </c>
      <c r="C152" s="12" t="s">
        <v>49</v>
      </c>
      <c r="D152" s="14">
        <v>45325</v>
      </c>
      <c r="E152" s="19">
        <v>45434</v>
      </c>
      <c r="F152" s="6">
        <v>27701.23</v>
      </c>
      <c r="G152" s="6" t="s">
        <v>42</v>
      </c>
      <c r="H152" s="18">
        <v>45434</v>
      </c>
      <c r="I152" s="17">
        <f>IF(G152="Paid",D152,IF(OR(G152="Pending",G152="Overdue"),E152,"Invalid Status"))</f>
        <v>45434</v>
      </c>
    </row>
    <row r="153" spans="1:9">
      <c r="A153" s="6" t="s">
        <v>201</v>
      </c>
      <c r="B153" s="13" t="str">
        <f t="shared" si="2"/>
        <v>ORD81732</v>
      </c>
      <c r="C153" s="12" t="s">
        <v>44</v>
      </c>
      <c r="D153" s="14">
        <v>45296</v>
      </c>
      <c r="E153" s="19">
        <v>45296</v>
      </c>
      <c r="F153" s="6">
        <v>22525.81</v>
      </c>
      <c r="G153" s="6" t="s">
        <v>50</v>
      </c>
      <c r="H153" s="18">
        <v>45296</v>
      </c>
      <c r="I153" s="17">
        <f>IF(G153="Paid",D153,IF(OR(G153="Pending",G153="Overdue"),E153,"Invalid Status"))</f>
        <v>45296</v>
      </c>
    </row>
    <row r="154" spans="1:9">
      <c r="A154" s="6" t="s">
        <v>202</v>
      </c>
      <c r="B154" s="13" t="str">
        <f t="shared" si="2"/>
        <v>ORD81733</v>
      </c>
      <c r="C154" s="12" t="s">
        <v>41</v>
      </c>
      <c r="D154" s="14">
        <v>45627</v>
      </c>
      <c r="E154" s="19">
        <v>45627</v>
      </c>
      <c r="F154" s="6">
        <v>18105.419999999998</v>
      </c>
      <c r="G154" s="6" t="s">
        <v>50</v>
      </c>
      <c r="H154" s="18">
        <v>45627</v>
      </c>
      <c r="I154" s="17">
        <f>IF(G154="Paid",D154,IF(OR(G154="Pending",G154="Overdue"),E154,"Invalid Status"))</f>
        <v>45627</v>
      </c>
    </row>
    <row r="155" spans="1:9">
      <c r="A155" s="6" t="s">
        <v>203</v>
      </c>
      <c r="B155" s="13" t="str">
        <f t="shared" si="2"/>
        <v>ORD81734</v>
      </c>
      <c r="C155" s="12" t="s">
        <v>41</v>
      </c>
      <c r="D155" s="14">
        <v>45387</v>
      </c>
      <c r="E155" s="19">
        <v>45581</v>
      </c>
      <c r="F155" s="6">
        <v>46534.48</v>
      </c>
      <c r="G155" s="6" t="s">
        <v>47</v>
      </c>
      <c r="H155" s="18">
        <v>45581</v>
      </c>
      <c r="I155" s="17">
        <f>IF(G155="Paid",D155,IF(OR(G155="Pending",G155="Overdue"),E155,"Invalid Status"))</f>
        <v>45581</v>
      </c>
    </row>
    <row r="156" spans="1:9">
      <c r="A156" s="6" t="s">
        <v>204</v>
      </c>
      <c r="B156" s="13" t="str">
        <f t="shared" si="2"/>
        <v>ORD81735</v>
      </c>
      <c r="C156" s="12" t="s">
        <v>49</v>
      </c>
      <c r="D156" s="14">
        <v>45457</v>
      </c>
      <c r="E156" s="19">
        <v>45456</v>
      </c>
      <c r="F156" s="6">
        <v>43237.87</v>
      </c>
      <c r="G156" s="6" t="s">
        <v>47</v>
      </c>
      <c r="H156" s="18">
        <v>45456</v>
      </c>
      <c r="I156" s="17">
        <f>IF(G156="Paid",D156,IF(OR(G156="Pending",G156="Overdue"),E156,"Invalid Status"))</f>
        <v>45456</v>
      </c>
    </row>
    <row r="157" spans="1:9">
      <c r="A157" s="6" t="s">
        <v>205</v>
      </c>
      <c r="B157" s="13" t="str">
        <f t="shared" si="2"/>
        <v>ORD81736</v>
      </c>
      <c r="C157" s="12" t="s">
        <v>41</v>
      </c>
      <c r="D157" s="14">
        <v>45309</v>
      </c>
      <c r="E157" s="19">
        <v>45309</v>
      </c>
      <c r="F157" s="6">
        <v>24215.81</v>
      </c>
      <c r="G157" s="6" t="s">
        <v>50</v>
      </c>
      <c r="H157" s="18">
        <v>45309</v>
      </c>
      <c r="I157" s="17">
        <f>IF(G157="Paid",D157,IF(OR(G157="Pending",G157="Overdue"),E157,"Invalid Status"))</f>
        <v>45309</v>
      </c>
    </row>
    <row r="158" spans="1:9">
      <c r="A158" s="6" t="s">
        <v>206</v>
      </c>
      <c r="B158" s="13" t="str">
        <f t="shared" si="2"/>
        <v>ORD81737</v>
      </c>
      <c r="C158" s="12" t="s">
        <v>44</v>
      </c>
      <c r="D158" s="14">
        <v>45539</v>
      </c>
      <c r="E158" s="19">
        <v>45539</v>
      </c>
      <c r="F158" s="6">
        <v>5154.58</v>
      </c>
      <c r="G158" s="6" t="s">
        <v>50</v>
      </c>
      <c r="H158" s="18">
        <v>45539</v>
      </c>
      <c r="I158" s="17">
        <f>IF(G158="Paid",D158,IF(OR(G158="Pending",G158="Overdue"),E158,"Invalid Status"))</f>
        <v>45539</v>
      </c>
    </row>
    <row r="159" spans="1:9">
      <c r="A159" s="6" t="s">
        <v>207</v>
      </c>
      <c r="B159" s="13" t="str">
        <f t="shared" si="2"/>
        <v>ORD81738</v>
      </c>
      <c r="C159" s="12" t="s">
        <v>44</v>
      </c>
      <c r="D159" s="14">
        <v>45290</v>
      </c>
      <c r="E159" s="19">
        <v>45546</v>
      </c>
      <c r="F159" s="6">
        <v>48541.14</v>
      </c>
      <c r="G159" s="6" t="s">
        <v>47</v>
      </c>
      <c r="H159" s="18">
        <v>45546</v>
      </c>
      <c r="I159" s="17">
        <f>IF(G159="Paid",D159,IF(OR(G159="Pending",G159="Overdue"),E159,"Invalid Status"))</f>
        <v>45546</v>
      </c>
    </row>
    <row r="160" spans="1:9">
      <c r="A160" s="6" t="s">
        <v>208</v>
      </c>
      <c r="B160" s="13" t="str">
        <f t="shared" si="2"/>
        <v>ORD81739</v>
      </c>
      <c r="C160" s="12" t="s">
        <v>41</v>
      </c>
      <c r="D160" s="14">
        <v>45417</v>
      </c>
      <c r="E160" s="19">
        <v>45494</v>
      </c>
      <c r="F160" s="6">
        <v>29150.13</v>
      </c>
      <c r="G160" s="6" t="s">
        <v>47</v>
      </c>
      <c r="H160" s="18">
        <v>45494</v>
      </c>
      <c r="I160" s="17">
        <f>IF(G160="Paid",D160,IF(OR(G160="Pending",G160="Overdue"),E160,"Invalid Status"))</f>
        <v>45494</v>
      </c>
    </row>
    <row r="161" spans="1:9">
      <c r="A161" s="6" t="s">
        <v>209</v>
      </c>
      <c r="B161" s="13" t="str">
        <f t="shared" si="2"/>
        <v>ORD81740</v>
      </c>
      <c r="C161" s="12" t="s">
        <v>41</v>
      </c>
      <c r="D161" s="14">
        <v>45327</v>
      </c>
      <c r="E161" s="19">
        <v>45327</v>
      </c>
      <c r="F161" s="6">
        <v>32185.39</v>
      </c>
      <c r="G161" s="6" t="s">
        <v>50</v>
      </c>
      <c r="H161" s="18">
        <v>45327</v>
      </c>
      <c r="I161" s="17">
        <f>IF(G161="Paid",D161,IF(OR(G161="Pending",G161="Overdue"),E161,"Invalid Status"))</f>
        <v>45327</v>
      </c>
    </row>
    <row r="162" spans="1:9">
      <c r="A162" s="6" t="s">
        <v>210</v>
      </c>
      <c r="B162" s="13" t="str">
        <f t="shared" si="2"/>
        <v>ORD81741</v>
      </c>
      <c r="C162" s="12" t="s">
        <v>49</v>
      </c>
      <c r="D162" s="14">
        <v>45484</v>
      </c>
      <c r="E162" s="19">
        <v>45423</v>
      </c>
      <c r="F162" s="6">
        <v>31377.89</v>
      </c>
      <c r="G162" s="6" t="s">
        <v>42</v>
      </c>
      <c r="H162" s="18">
        <v>45423</v>
      </c>
      <c r="I162" s="17">
        <f>IF(G162="Paid",D162,IF(OR(G162="Pending",G162="Overdue"),E162,"Invalid Status"))</f>
        <v>45423</v>
      </c>
    </row>
    <row r="163" spans="1:9">
      <c r="A163" s="6" t="s">
        <v>211</v>
      </c>
      <c r="B163" s="13" t="str">
        <f t="shared" si="2"/>
        <v>ORD81742</v>
      </c>
      <c r="C163" s="12" t="s">
        <v>41</v>
      </c>
      <c r="D163" s="14">
        <v>45464</v>
      </c>
      <c r="E163" s="19">
        <v>45331</v>
      </c>
      <c r="F163" s="6">
        <v>21483.94</v>
      </c>
      <c r="G163" s="6" t="s">
        <v>42</v>
      </c>
      <c r="H163" s="18">
        <v>45331</v>
      </c>
      <c r="I163" s="17">
        <f>IF(G163="Paid",D163,IF(OR(G163="Pending",G163="Overdue"),E163,"Invalid Status"))</f>
        <v>45331</v>
      </c>
    </row>
    <row r="164" spans="1:9">
      <c r="A164" s="6" t="s">
        <v>212</v>
      </c>
      <c r="B164" s="13" t="str">
        <f t="shared" si="2"/>
        <v>ORD81743</v>
      </c>
      <c r="C164" s="12" t="s">
        <v>44</v>
      </c>
      <c r="D164" s="14">
        <v>45605</v>
      </c>
      <c r="E164" s="19">
        <v>45605</v>
      </c>
      <c r="F164" s="6">
        <v>21091.11</v>
      </c>
      <c r="G164" s="6" t="s">
        <v>50</v>
      </c>
      <c r="H164" s="18">
        <v>45605</v>
      </c>
      <c r="I164" s="17">
        <f>IF(G164="Paid",D164,IF(OR(G164="Pending",G164="Overdue"),E164,"Invalid Status"))</f>
        <v>45605</v>
      </c>
    </row>
    <row r="165" spans="1:9">
      <c r="A165" s="6" t="s">
        <v>213</v>
      </c>
      <c r="B165" s="13" t="str">
        <f t="shared" si="2"/>
        <v>ORD81744</v>
      </c>
      <c r="C165" s="12" t="s">
        <v>41</v>
      </c>
      <c r="D165" s="14">
        <v>45557</v>
      </c>
      <c r="E165" s="19">
        <v>45620</v>
      </c>
      <c r="F165" s="6">
        <v>31631.97</v>
      </c>
      <c r="G165" s="6" t="s">
        <v>42</v>
      </c>
      <c r="H165" s="18">
        <v>45620</v>
      </c>
      <c r="I165" s="17">
        <f>IF(G165="Paid",D165,IF(OR(G165="Pending",G165="Overdue"),E165,"Invalid Status"))</f>
        <v>45620</v>
      </c>
    </row>
    <row r="166" spans="1:9">
      <c r="A166" s="6" t="s">
        <v>214</v>
      </c>
      <c r="B166" s="13" t="str">
        <f t="shared" si="2"/>
        <v>ORD81745</v>
      </c>
      <c r="C166" s="12" t="s">
        <v>44</v>
      </c>
      <c r="D166" s="14">
        <v>45352</v>
      </c>
      <c r="E166" s="19">
        <v>45352</v>
      </c>
      <c r="F166" s="6">
        <v>29043.52</v>
      </c>
      <c r="G166" s="6" t="s">
        <v>50</v>
      </c>
      <c r="H166" s="18">
        <v>45352</v>
      </c>
      <c r="I166" s="17">
        <f>IF(G166="Paid",D166,IF(OR(G166="Pending",G166="Overdue"),E166,"Invalid Status"))</f>
        <v>45352</v>
      </c>
    </row>
    <row r="167" spans="1:9">
      <c r="A167" s="6" t="s">
        <v>215</v>
      </c>
      <c r="B167" s="13" t="str">
        <f t="shared" si="2"/>
        <v>ORD81746</v>
      </c>
      <c r="C167" s="12" t="s">
        <v>46</v>
      </c>
      <c r="D167" s="14">
        <v>45299</v>
      </c>
      <c r="E167" s="19">
        <v>45583</v>
      </c>
      <c r="F167" s="6">
        <v>28271.26</v>
      </c>
      <c r="G167" s="6" t="s">
        <v>42</v>
      </c>
      <c r="H167" s="18">
        <v>45583</v>
      </c>
      <c r="I167" s="17">
        <f>IF(G167="Paid",D167,IF(OR(G167="Pending",G167="Overdue"),E167,"Invalid Status"))</f>
        <v>45583</v>
      </c>
    </row>
    <row r="168" spans="1:9">
      <c r="A168" s="6" t="s">
        <v>216</v>
      </c>
      <c r="B168" s="13" t="str">
        <f t="shared" si="2"/>
        <v>ORD81747</v>
      </c>
      <c r="C168" s="12" t="s">
        <v>46</v>
      </c>
      <c r="D168" s="14">
        <v>45605</v>
      </c>
      <c r="E168" s="19">
        <v>45500</v>
      </c>
      <c r="F168" s="6">
        <v>18870.400000000001</v>
      </c>
      <c r="G168" s="6" t="s">
        <v>42</v>
      </c>
      <c r="H168" s="18">
        <v>45500</v>
      </c>
      <c r="I168" s="17">
        <f>IF(G168="Paid",D168,IF(OR(G168="Pending",G168="Overdue"),E168,"Invalid Status"))</f>
        <v>45500</v>
      </c>
    </row>
    <row r="169" spans="1:9">
      <c r="A169" s="6" t="s">
        <v>217</v>
      </c>
      <c r="B169" s="13" t="str">
        <f t="shared" si="2"/>
        <v>ORD81748</v>
      </c>
      <c r="C169" s="12" t="s">
        <v>49</v>
      </c>
      <c r="D169" s="14">
        <v>45338</v>
      </c>
      <c r="E169" s="19">
        <v>45338</v>
      </c>
      <c r="F169" s="6">
        <v>15198.95</v>
      </c>
      <c r="G169" s="6" t="s">
        <v>50</v>
      </c>
      <c r="H169" s="18">
        <v>45338</v>
      </c>
      <c r="I169" s="17">
        <f>IF(G169="Paid",D169,IF(OR(G169="Pending",G169="Overdue"),E169,"Invalid Status"))</f>
        <v>45338</v>
      </c>
    </row>
    <row r="170" spans="1:9">
      <c r="A170" s="6" t="s">
        <v>218</v>
      </c>
      <c r="B170" s="13" t="str">
        <f t="shared" si="2"/>
        <v>ORD81749</v>
      </c>
      <c r="C170" s="12" t="s">
        <v>44</v>
      </c>
      <c r="D170" s="14">
        <v>45532</v>
      </c>
      <c r="E170" s="19">
        <v>45547</v>
      </c>
      <c r="F170" s="6">
        <v>39600.26</v>
      </c>
      <c r="G170" s="6" t="s">
        <v>47</v>
      </c>
      <c r="H170" s="18">
        <v>45547</v>
      </c>
      <c r="I170" s="17">
        <f>IF(G170="Paid",D170,IF(OR(G170="Pending",G170="Overdue"),E170,"Invalid Status"))</f>
        <v>45547</v>
      </c>
    </row>
    <row r="171" spans="1:9">
      <c r="A171" s="6" t="s">
        <v>219</v>
      </c>
      <c r="B171" s="13" t="str">
        <f t="shared" si="2"/>
        <v>ORD81750</v>
      </c>
      <c r="C171" s="12" t="s">
        <v>49</v>
      </c>
      <c r="D171" s="14">
        <v>45518</v>
      </c>
      <c r="E171" s="19">
        <v>45505</v>
      </c>
      <c r="F171" s="6">
        <v>11193.38</v>
      </c>
      <c r="G171" s="6" t="s">
        <v>47</v>
      </c>
      <c r="H171" s="18">
        <v>45505</v>
      </c>
      <c r="I171" s="17">
        <f>IF(G171="Paid",D171,IF(OR(G171="Pending",G171="Overdue"),E171,"Invalid Status"))</f>
        <v>45505</v>
      </c>
    </row>
    <row r="172" spans="1:9">
      <c r="A172" s="6" t="s">
        <v>220</v>
      </c>
      <c r="B172" s="13" t="str">
        <f t="shared" si="2"/>
        <v>ORD81751</v>
      </c>
      <c r="C172" s="12" t="s">
        <v>46</v>
      </c>
      <c r="D172" s="14">
        <v>45280</v>
      </c>
      <c r="E172" s="19">
        <v>45311</v>
      </c>
      <c r="F172" s="6">
        <v>5271.9</v>
      </c>
      <c r="G172" s="6" t="s">
        <v>42</v>
      </c>
      <c r="H172" s="18">
        <v>45311</v>
      </c>
      <c r="I172" s="17">
        <f>IF(G172="Paid",D172,IF(OR(G172="Pending",G172="Overdue"),E172,"Invalid Status"))</f>
        <v>45311</v>
      </c>
    </row>
    <row r="173" spans="1:9">
      <c r="A173" s="6" t="s">
        <v>221</v>
      </c>
      <c r="B173" s="13" t="str">
        <f t="shared" si="2"/>
        <v>ORD81752</v>
      </c>
      <c r="C173" s="12" t="s">
        <v>44</v>
      </c>
      <c r="D173" s="14">
        <v>45462</v>
      </c>
      <c r="E173" s="19">
        <v>45511</v>
      </c>
      <c r="F173" s="6">
        <v>20849.240000000002</v>
      </c>
      <c r="G173" s="6" t="s">
        <v>47</v>
      </c>
      <c r="H173" s="18">
        <v>45511</v>
      </c>
      <c r="I173" s="17">
        <f>IF(G173="Paid",D173,IF(OR(G173="Pending",G173="Overdue"),E173,"Invalid Status"))</f>
        <v>45511</v>
      </c>
    </row>
    <row r="174" spans="1:9">
      <c r="A174" s="6" t="s">
        <v>222</v>
      </c>
      <c r="B174" s="13" t="str">
        <f t="shared" si="2"/>
        <v>ORD81753</v>
      </c>
      <c r="C174" s="12" t="s">
        <v>49</v>
      </c>
      <c r="D174" s="14">
        <v>45486</v>
      </c>
      <c r="E174" s="19">
        <v>45350</v>
      </c>
      <c r="F174" s="6">
        <v>47233.53</v>
      </c>
      <c r="G174" s="6" t="s">
        <v>42</v>
      </c>
      <c r="H174" s="18">
        <v>45350</v>
      </c>
      <c r="I174" s="17">
        <f>IF(G174="Paid",D174,IF(OR(G174="Pending",G174="Overdue"),E174,"Invalid Status"))</f>
        <v>45350</v>
      </c>
    </row>
    <row r="175" spans="1:9">
      <c r="A175" s="6" t="s">
        <v>223</v>
      </c>
      <c r="B175" s="13" t="str">
        <f t="shared" si="2"/>
        <v>ORD81754</v>
      </c>
      <c r="C175" s="12" t="s">
        <v>46</v>
      </c>
      <c r="D175" s="14">
        <v>45443</v>
      </c>
      <c r="E175" s="19">
        <v>45608</v>
      </c>
      <c r="F175" s="6">
        <v>25641.27</v>
      </c>
      <c r="G175" s="6" t="s">
        <v>42</v>
      </c>
      <c r="H175" s="18">
        <v>45608</v>
      </c>
      <c r="I175" s="17">
        <f>IF(G175="Paid",D175,IF(OR(G175="Pending",G175="Overdue"),E175,"Invalid Status"))</f>
        <v>45608</v>
      </c>
    </row>
    <row r="176" spans="1:9">
      <c r="A176" s="6" t="s">
        <v>224</v>
      </c>
      <c r="B176" s="13" t="str">
        <f t="shared" si="2"/>
        <v>ORD81755</v>
      </c>
      <c r="C176" s="12" t="s">
        <v>44</v>
      </c>
      <c r="D176" s="14">
        <v>45420</v>
      </c>
      <c r="E176" s="19">
        <v>45523</v>
      </c>
      <c r="F176" s="6">
        <v>49150.2</v>
      </c>
      <c r="G176" s="6" t="s">
        <v>47</v>
      </c>
      <c r="H176" s="18">
        <v>45523</v>
      </c>
      <c r="I176" s="17">
        <f>IF(G176="Paid",D176,IF(OR(G176="Pending",G176="Overdue"),E176,"Invalid Status"))</f>
        <v>45523</v>
      </c>
    </row>
    <row r="177" spans="1:9">
      <c r="A177" s="6" t="s">
        <v>225</v>
      </c>
      <c r="B177" s="13" t="str">
        <f t="shared" si="2"/>
        <v>ORD81756</v>
      </c>
      <c r="C177" s="12" t="s">
        <v>46</v>
      </c>
      <c r="D177" s="14">
        <v>45546</v>
      </c>
      <c r="E177" s="19">
        <v>45542</v>
      </c>
      <c r="F177" s="6">
        <v>15809.52</v>
      </c>
      <c r="G177" s="6" t="s">
        <v>42</v>
      </c>
      <c r="H177" s="18">
        <v>45542</v>
      </c>
      <c r="I177" s="17">
        <f>IF(G177="Paid",D177,IF(OR(G177="Pending",G177="Overdue"),E177,"Invalid Status"))</f>
        <v>45542</v>
      </c>
    </row>
    <row r="178" spans="1:9">
      <c r="A178" s="6" t="s">
        <v>226</v>
      </c>
      <c r="B178" s="13" t="str">
        <f t="shared" si="2"/>
        <v>ORD81757</v>
      </c>
      <c r="C178" s="12" t="s">
        <v>41</v>
      </c>
      <c r="D178" s="14">
        <v>45638</v>
      </c>
      <c r="E178" s="19">
        <v>45638</v>
      </c>
      <c r="F178" s="6">
        <v>30396.41</v>
      </c>
      <c r="G178" s="6" t="s">
        <v>50</v>
      </c>
      <c r="H178" s="18">
        <v>45638</v>
      </c>
      <c r="I178" s="17">
        <f>IF(G178="Paid",D178,IF(OR(G178="Pending",G178="Overdue"),E178,"Invalid Status"))</f>
        <v>45638</v>
      </c>
    </row>
    <row r="179" spans="1:9">
      <c r="A179" s="6" t="s">
        <v>227</v>
      </c>
      <c r="B179" s="13" t="str">
        <f t="shared" si="2"/>
        <v>ORD81758</v>
      </c>
      <c r="C179" s="12" t="s">
        <v>46</v>
      </c>
      <c r="D179" s="14">
        <v>45421</v>
      </c>
      <c r="E179" s="19">
        <v>45379</v>
      </c>
      <c r="F179" s="6">
        <v>10971.85</v>
      </c>
      <c r="G179" s="6" t="s">
        <v>42</v>
      </c>
      <c r="H179" s="18">
        <v>45379</v>
      </c>
      <c r="I179" s="17">
        <f>IF(G179="Paid",D179,IF(OR(G179="Pending",G179="Overdue"),E179,"Invalid Status"))</f>
        <v>45379</v>
      </c>
    </row>
    <row r="180" spans="1:9">
      <c r="A180" s="6" t="s">
        <v>228</v>
      </c>
      <c r="B180" s="13" t="str">
        <f t="shared" si="2"/>
        <v>ORD81759</v>
      </c>
      <c r="C180" s="12" t="s">
        <v>44</v>
      </c>
      <c r="D180" s="14">
        <v>45589</v>
      </c>
      <c r="E180" s="19">
        <v>45614</v>
      </c>
      <c r="F180" s="6">
        <v>6900.29</v>
      </c>
      <c r="G180" s="6" t="s">
        <v>42</v>
      </c>
      <c r="H180" s="18">
        <v>45614</v>
      </c>
      <c r="I180" s="17">
        <f>IF(G180="Paid",D180,IF(OR(G180="Pending",G180="Overdue"),E180,"Invalid Status"))</f>
        <v>45614</v>
      </c>
    </row>
    <row r="181" spans="1:9">
      <c r="A181" s="6" t="s">
        <v>229</v>
      </c>
      <c r="B181" s="13" t="str">
        <f t="shared" si="2"/>
        <v>ORD81760</v>
      </c>
      <c r="C181" s="12" t="s">
        <v>41</v>
      </c>
      <c r="D181" s="14">
        <v>45432</v>
      </c>
      <c r="E181" s="19">
        <v>45642</v>
      </c>
      <c r="F181" s="6">
        <v>2414.36</v>
      </c>
      <c r="G181" s="6" t="s">
        <v>42</v>
      </c>
      <c r="H181" s="18">
        <v>45642</v>
      </c>
      <c r="I181" s="17">
        <f>IF(G181="Paid",D181,IF(OR(G181="Pending",G181="Overdue"),E181,"Invalid Status"))</f>
        <v>45642</v>
      </c>
    </row>
    <row r="182" spans="1:9">
      <c r="A182" s="6" t="s">
        <v>230</v>
      </c>
      <c r="B182" s="13" t="str">
        <f t="shared" si="2"/>
        <v>ORD81761</v>
      </c>
      <c r="C182" s="12" t="s">
        <v>49</v>
      </c>
      <c r="D182" s="14">
        <v>45509</v>
      </c>
      <c r="E182" s="19">
        <v>45338</v>
      </c>
      <c r="F182" s="6">
        <v>29751.94</v>
      </c>
      <c r="G182" s="6" t="s">
        <v>42</v>
      </c>
      <c r="H182" s="18">
        <v>45338</v>
      </c>
      <c r="I182" s="17">
        <f>IF(G182="Paid",D182,IF(OR(G182="Pending",G182="Overdue"),E182,"Invalid Status"))</f>
        <v>45338</v>
      </c>
    </row>
    <row r="183" spans="1:9">
      <c r="A183" s="6" t="s">
        <v>231</v>
      </c>
      <c r="B183" s="13" t="str">
        <f t="shared" si="2"/>
        <v>ORD81762</v>
      </c>
      <c r="C183" s="12" t="s">
        <v>44</v>
      </c>
      <c r="D183" s="14">
        <v>45343</v>
      </c>
      <c r="E183" s="19">
        <v>45343</v>
      </c>
      <c r="F183" s="6">
        <v>16965.32</v>
      </c>
      <c r="G183" s="6" t="s">
        <v>50</v>
      </c>
      <c r="H183" s="18">
        <v>45343</v>
      </c>
      <c r="I183" s="17">
        <f>IF(G183="Paid",D183,IF(OR(G183="Pending",G183="Overdue"),E183,"Invalid Status"))</f>
        <v>45343</v>
      </c>
    </row>
    <row r="184" spans="1:9">
      <c r="A184" s="6" t="s">
        <v>232</v>
      </c>
      <c r="B184" s="13" t="str">
        <f t="shared" si="2"/>
        <v>ORD81763</v>
      </c>
      <c r="C184" s="12" t="s">
        <v>41</v>
      </c>
      <c r="D184" s="14">
        <v>45417</v>
      </c>
      <c r="E184" s="19">
        <v>45279</v>
      </c>
      <c r="F184" s="6">
        <v>18424.05</v>
      </c>
      <c r="G184" s="6" t="s">
        <v>47</v>
      </c>
      <c r="H184" s="18">
        <v>45279</v>
      </c>
      <c r="I184" s="17">
        <f>IF(G184="Paid",D184,IF(OR(G184="Pending",G184="Overdue"),E184,"Invalid Status"))</f>
        <v>45279</v>
      </c>
    </row>
    <row r="185" spans="1:9">
      <c r="A185" s="6" t="s">
        <v>233</v>
      </c>
      <c r="B185" s="13" t="str">
        <f t="shared" si="2"/>
        <v>ORD81764</v>
      </c>
      <c r="C185" s="12" t="s">
        <v>41</v>
      </c>
      <c r="D185" s="14">
        <v>45562</v>
      </c>
      <c r="E185" s="19">
        <v>45621</v>
      </c>
      <c r="F185" s="6">
        <v>32918.620000000003</v>
      </c>
      <c r="G185" s="6" t="s">
        <v>42</v>
      </c>
      <c r="H185" s="18">
        <v>45621</v>
      </c>
      <c r="I185" s="17">
        <f>IF(G185="Paid",D185,IF(OR(G185="Pending",G185="Overdue"),E185,"Invalid Status"))</f>
        <v>45621</v>
      </c>
    </row>
    <row r="186" spans="1:9">
      <c r="A186" s="6" t="s">
        <v>234</v>
      </c>
      <c r="B186" s="13" t="str">
        <f t="shared" si="2"/>
        <v>ORD81765</v>
      </c>
      <c r="C186" s="12" t="s">
        <v>46</v>
      </c>
      <c r="D186" s="14">
        <v>45520</v>
      </c>
      <c r="E186" s="19">
        <v>45462</v>
      </c>
      <c r="F186" s="6">
        <v>44983.42</v>
      </c>
      <c r="G186" s="6" t="s">
        <v>47</v>
      </c>
      <c r="H186" s="18">
        <v>45462</v>
      </c>
      <c r="I186" s="17">
        <f>IF(G186="Paid",D186,IF(OR(G186="Pending",G186="Overdue"),E186,"Invalid Status"))</f>
        <v>45462</v>
      </c>
    </row>
    <row r="187" spans="1:9">
      <c r="A187" s="6" t="s">
        <v>235</v>
      </c>
      <c r="B187" s="13" t="str">
        <f t="shared" si="2"/>
        <v>ORD81766</v>
      </c>
      <c r="C187" s="12" t="s">
        <v>46</v>
      </c>
      <c r="D187" s="14">
        <v>45359</v>
      </c>
      <c r="E187" s="19">
        <v>45316</v>
      </c>
      <c r="F187" s="6">
        <v>10427.94</v>
      </c>
      <c r="G187" s="6" t="s">
        <v>47</v>
      </c>
      <c r="H187" s="18">
        <v>45316</v>
      </c>
      <c r="I187" s="17">
        <f>IF(G187="Paid",D187,IF(OR(G187="Pending",G187="Overdue"),E187,"Invalid Status"))</f>
        <v>45316</v>
      </c>
    </row>
    <row r="188" spans="1:9">
      <c r="A188" s="6" t="s">
        <v>236</v>
      </c>
      <c r="B188" s="13" t="str">
        <f t="shared" si="2"/>
        <v>ORD81767</v>
      </c>
      <c r="C188" s="12" t="s">
        <v>44</v>
      </c>
      <c r="D188" s="14">
        <v>45385</v>
      </c>
      <c r="E188" s="19">
        <v>45569</v>
      </c>
      <c r="F188" s="6">
        <v>14409.46</v>
      </c>
      <c r="G188" s="6" t="s">
        <v>42</v>
      </c>
      <c r="H188" s="18">
        <v>45569</v>
      </c>
      <c r="I188" s="17">
        <f>IF(G188="Paid",D188,IF(OR(G188="Pending",G188="Overdue"),E188,"Invalid Status"))</f>
        <v>45569</v>
      </c>
    </row>
    <row r="189" spans="1:9">
      <c r="A189" s="6" t="s">
        <v>237</v>
      </c>
      <c r="B189" s="13" t="str">
        <f t="shared" si="2"/>
        <v>ORD81768</v>
      </c>
      <c r="C189" s="12" t="s">
        <v>41</v>
      </c>
      <c r="D189" s="14">
        <v>45317</v>
      </c>
      <c r="E189" s="19">
        <v>45301</v>
      </c>
      <c r="F189" s="6">
        <v>47626.49</v>
      </c>
      <c r="G189" s="6" t="s">
        <v>47</v>
      </c>
      <c r="H189" s="18">
        <v>45301</v>
      </c>
      <c r="I189" s="17">
        <f>IF(G189="Paid",D189,IF(OR(G189="Pending",G189="Overdue"),E189,"Invalid Status"))</f>
        <v>45301</v>
      </c>
    </row>
    <row r="190" spans="1:9">
      <c r="A190" s="6" t="s">
        <v>238</v>
      </c>
      <c r="B190" s="13" t="str">
        <f t="shared" si="2"/>
        <v>ORD81769</v>
      </c>
      <c r="C190" s="12" t="s">
        <v>41</v>
      </c>
      <c r="D190" s="14">
        <v>45556</v>
      </c>
      <c r="E190" s="19">
        <v>45486</v>
      </c>
      <c r="F190" s="6">
        <v>3482.88</v>
      </c>
      <c r="G190" s="6" t="s">
        <v>47</v>
      </c>
      <c r="H190" s="18">
        <v>45486</v>
      </c>
      <c r="I190" s="17">
        <f>IF(G190="Paid",D190,IF(OR(G190="Pending",G190="Overdue"),E190,"Invalid Status"))</f>
        <v>45486</v>
      </c>
    </row>
    <row r="191" spans="1:9">
      <c r="A191" s="6" t="s">
        <v>239</v>
      </c>
      <c r="B191" s="13" t="str">
        <f t="shared" si="2"/>
        <v>ORD81770</v>
      </c>
      <c r="C191" s="12" t="s">
        <v>46</v>
      </c>
      <c r="D191" s="14">
        <v>45513</v>
      </c>
      <c r="E191" s="19">
        <v>45513</v>
      </c>
      <c r="F191" s="6">
        <v>40594.910000000003</v>
      </c>
      <c r="G191" s="6" t="s">
        <v>50</v>
      </c>
      <c r="H191" s="18">
        <v>45513</v>
      </c>
      <c r="I191" s="17">
        <f>IF(G191="Paid",D191,IF(OR(G191="Pending",G191="Overdue"),E191,"Invalid Status"))</f>
        <v>45513</v>
      </c>
    </row>
    <row r="192" spans="1:9">
      <c r="A192" s="6" t="s">
        <v>240</v>
      </c>
      <c r="B192" s="13" t="str">
        <f t="shared" si="2"/>
        <v>ORD81771</v>
      </c>
      <c r="C192" s="12" t="s">
        <v>41</v>
      </c>
      <c r="D192" s="14">
        <v>45330</v>
      </c>
      <c r="E192" s="19">
        <v>45330</v>
      </c>
      <c r="F192" s="6">
        <v>11491.26</v>
      </c>
      <c r="G192" s="6" t="s">
        <v>50</v>
      </c>
      <c r="H192" s="18">
        <v>45330</v>
      </c>
      <c r="I192" s="17">
        <f>IF(G192="Paid",D192,IF(OR(G192="Pending",G192="Overdue"),E192,"Invalid Status"))</f>
        <v>45330</v>
      </c>
    </row>
    <row r="193" spans="1:9">
      <c r="A193" s="6" t="s">
        <v>241</v>
      </c>
      <c r="B193" s="13" t="str">
        <f t="shared" si="2"/>
        <v>ORD81772</v>
      </c>
      <c r="C193" s="12" t="s">
        <v>41</v>
      </c>
      <c r="D193" s="14">
        <v>45532</v>
      </c>
      <c r="E193" s="19">
        <v>45306</v>
      </c>
      <c r="F193" s="6">
        <v>20956.79</v>
      </c>
      <c r="G193" s="6" t="s">
        <v>47</v>
      </c>
      <c r="H193" s="18">
        <v>45306</v>
      </c>
      <c r="I193" s="17">
        <f>IF(G193="Paid",D193,IF(OR(G193="Pending",G193="Overdue"),E193,"Invalid Status"))</f>
        <v>45306</v>
      </c>
    </row>
    <row r="194" spans="1:9">
      <c r="A194" s="6" t="s">
        <v>242</v>
      </c>
      <c r="B194" s="13" t="str">
        <f t="shared" si="2"/>
        <v>ORD81773</v>
      </c>
      <c r="C194" s="12" t="s">
        <v>49</v>
      </c>
      <c r="D194" s="14">
        <v>45382</v>
      </c>
      <c r="E194" s="19">
        <v>45422</v>
      </c>
      <c r="F194" s="6">
        <v>35833.03</v>
      </c>
      <c r="G194" s="6" t="s">
        <v>42</v>
      </c>
      <c r="H194" s="18">
        <v>45422</v>
      </c>
      <c r="I194" s="17">
        <f>IF(G194="Paid",D194,IF(OR(G194="Pending",G194="Overdue"),E194,"Invalid Status"))</f>
        <v>45422</v>
      </c>
    </row>
    <row r="195" spans="1:9">
      <c r="A195" s="6" t="s">
        <v>243</v>
      </c>
      <c r="B195" s="13" t="str">
        <f t="shared" si="2"/>
        <v>ORD81774</v>
      </c>
      <c r="C195" s="12" t="s">
        <v>44</v>
      </c>
      <c r="D195" s="14">
        <v>45463</v>
      </c>
      <c r="E195" s="19">
        <v>45350</v>
      </c>
      <c r="F195" s="6">
        <v>8690.9500000000007</v>
      </c>
      <c r="G195" s="6" t="s">
        <v>47</v>
      </c>
      <c r="H195" s="18">
        <v>45350</v>
      </c>
      <c r="I195" s="17">
        <f>IF(G195="Paid",D195,IF(OR(G195="Pending",G195="Overdue"),E195,"Invalid Status"))</f>
        <v>45350</v>
      </c>
    </row>
    <row r="196" spans="1:9">
      <c r="A196" s="6" t="s">
        <v>244</v>
      </c>
      <c r="B196" s="13" t="str">
        <f t="shared" ref="B196:B251" si="3">"ORD" &amp; TEXT(RIGHT(B195,5) +1, "00000")</f>
        <v>ORD81775</v>
      </c>
      <c r="C196" s="12" t="s">
        <v>41</v>
      </c>
      <c r="D196" s="14">
        <v>45479</v>
      </c>
      <c r="E196" s="19">
        <v>45371</v>
      </c>
      <c r="F196" s="6">
        <v>6597.48</v>
      </c>
      <c r="G196" s="6" t="s">
        <v>42</v>
      </c>
      <c r="H196" s="18">
        <v>45371</v>
      </c>
      <c r="I196" s="17">
        <f>IF(G196="Paid",D196,IF(OR(G196="Pending",G196="Overdue"),E196,"Invalid Status"))</f>
        <v>45371</v>
      </c>
    </row>
    <row r="197" spans="1:9">
      <c r="A197" s="6" t="s">
        <v>245</v>
      </c>
      <c r="B197" s="13" t="str">
        <f t="shared" si="3"/>
        <v>ORD81776</v>
      </c>
      <c r="C197" s="12" t="s">
        <v>49</v>
      </c>
      <c r="D197" s="14">
        <v>45564</v>
      </c>
      <c r="E197" s="19">
        <v>45575</v>
      </c>
      <c r="F197" s="6">
        <v>28328.38</v>
      </c>
      <c r="G197" s="6" t="s">
        <v>42</v>
      </c>
      <c r="H197" s="18">
        <v>45575</v>
      </c>
      <c r="I197" s="17">
        <f>IF(G197="Paid",D197,IF(OR(G197="Pending",G197="Overdue"),E197,"Invalid Status"))</f>
        <v>45575</v>
      </c>
    </row>
    <row r="198" spans="1:9">
      <c r="A198" s="6" t="s">
        <v>246</v>
      </c>
      <c r="B198" s="13" t="str">
        <f t="shared" si="3"/>
        <v>ORD81777</v>
      </c>
      <c r="C198" s="12" t="s">
        <v>41</v>
      </c>
      <c r="D198" s="14">
        <v>45504</v>
      </c>
      <c r="E198" s="19">
        <v>45553</v>
      </c>
      <c r="F198" s="6">
        <v>49133.36</v>
      </c>
      <c r="G198" s="6" t="s">
        <v>47</v>
      </c>
      <c r="H198" s="18">
        <v>45553</v>
      </c>
      <c r="I198" s="17">
        <f>IF(G198="Paid",D198,IF(OR(G198="Pending",G198="Overdue"),E198,"Invalid Status"))</f>
        <v>45553</v>
      </c>
    </row>
    <row r="199" spans="1:9">
      <c r="A199" s="6" t="s">
        <v>247</v>
      </c>
      <c r="B199" s="13" t="str">
        <f t="shared" si="3"/>
        <v>ORD81778</v>
      </c>
      <c r="C199" s="12" t="s">
        <v>49</v>
      </c>
      <c r="D199" s="14">
        <v>45459</v>
      </c>
      <c r="E199" s="19">
        <v>45459</v>
      </c>
      <c r="F199" s="6">
        <v>10649.14</v>
      </c>
      <c r="G199" s="6" t="s">
        <v>50</v>
      </c>
      <c r="H199" s="18">
        <v>45459</v>
      </c>
      <c r="I199" s="17">
        <f>IF(G199="Paid",D199,IF(OR(G199="Pending",G199="Overdue"),E199,"Invalid Status"))</f>
        <v>45459</v>
      </c>
    </row>
    <row r="200" spans="1:9">
      <c r="A200" s="6" t="s">
        <v>248</v>
      </c>
      <c r="B200" s="13" t="str">
        <f t="shared" si="3"/>
        <v>ORD81779</v>
      </c>
      <c r="C200" s="12" t="s">
        <v>44</v>
      </c>
      <c r="D200" s="14">
        <v>45601</v>
      </c>
      <c r="E200" s="19">
        <v>45394</v>
      </c>
      <c r="F200" s="6">
        <v>19893.009999999998</v>
      </c>
      <c r="G200" s="6" t="s">
        <v>47</v>
      </c>
      <c r="H200" s="18">
        <v>45394</v>
      </c>
      <c r="I200" s="17">
        <f>IF(G200="Paid",D200,IF(OR(G200="Pending",G200="Overdue"),E200,"Invalid Status"))</f>
        <v>45394</v>
      </c>
    </row>
    <row r="201" spans="1:9">
      <c r="A201" s="6" t="s">
        <v>249</v>
      </c>
      <c r="B201" s="13" t="str">
        <f t="shared" si="3"/>
        <v>ORD81780</v>
      </c>
      <c r="C201" s="12" t="s">
        <v>44</v>
      </c>
      <c r="D201" s="14">
        <v>45535</v>
      </c>
      <c r="E201" s="19">
        <v>45535</v>
      </c>
      <c r="F201" s="6">
        <v>21023.33</v>
      </c>
      <c r="G201" s="6" t="s">
        <v>50</v>
      </c>
      <c r="H201" s="18">
        <v>45535</v>
      </c>
      <c r="I201" s="17">
        <f>IF(G201="Paid",D201,IF(OR(G201="Pending",G201="Overdue"),E201,"Invalid Status"))</f>
        <v>45535</v>
      </c>
    </row>
    <row r="202" spans="1:9">
      <c r="A202" s="6" t="s">
        <v>250</v>
      </c>
      <c r="B202" s="13" t="str">
        <f t="shared" si="3"/>
        <v>ORD81781</v>
      </c>
      <c r="C202" s="12" t="s">
        <v>44</v>
      </c>
      <c r="D202" s="14">
        <v>45421</v>
      </c>
      <c r="E202" s="19">
        <v>45473</v>
      </c>
      <c r="F202" s="6">
        <v>31967.32</v>
      </c>
      <c r="G202" s="6" t="s">
        <v>47</v>
      </c>
      <c r="H202" s="18">
        <v>45473</v>
      </c>
      <c r="I202" s="17">
        <f>IF(G202="Paid",D202,IF(OR(G202="Pending",G202="Overdue"),E202,"Invalid Status"))</f>
        <v>45473</v>
      </c>
    </row>
    <row r="203" spans="1:9">
      <c r="A203" s="6" t="s">
        <v>251</v>
      </c>
      <c r="B203" s="13" t="str">
        <f t="shared" si="3"/>
        <v>ORD81782</v>
      </c>
      <c r="C203" s="12" t="s">
        <v>41</v>
      </c>
      <c r="D203" s="14">
        <v>45596</v>
      </c>
      <c r="E203" s="19">
        <v>45518</v>
      </c>
      <c r="F203" s="6">
        <v>16927.240000000002</v>
      </c>
      <c r="G203" s="6" t="s">
        <v>42</v>
      </c>
      <c r="H203" s="18">
        <v>45518</v>
      </c>
      <c r="I203" s="17">
        <f>IF(G203="Paid",D203,IF(OR(G203="Pending",G203="Overdue"),E203,"Invalid Status"))</f>
        <v>45518</v>
      </c>
    </row>
    <row r="204" spans="1:9">
      <c r="A204" s="6" t="s">
        <v>252</v>
      </c>
      <c r="B204" s="13" t="str">
        <f t="shared" si="3"/>
        <v>ORD81783</v>
      </c>
      <c r="C204" s="12" t="s">
        <v>49</v>
      </c>
      <c r="D204" s="14">
        <v>45496</v>
      </c>
      <c r="E204" s="19">
        <v>45414</v>
      </c>
      <c r="F204" s="6">
        <v>31551.19</v>
      </c>
      <c r="G204" s="6" t="s">
        <v>42</v>
      </c>
      <c r="H204" s="18">
        <v>45414</v>
      </c>
      <c r="I204" s="17">
        <f>IF(G204="Paid",D204,IF(OR(G204="Pending",G204="Overdue"),E204,"Invalid Status"))</f>
        <v>45414</v>
      </c>
    </row>
    <row r="205" spans="1:9">
      <c r="A205" s="6" t="s">
        <v>253</v>
      </c>
      <c r="B205" s="13" t="str">
        <f t="shared" si="3"/>
        <v>ORD81784</v>
      </c>
      <c r="C205" s="12" t="s">
        <v>44</v>
      </c>
      <c r="D205" s="14">
        <v>45317</v>
      </c>
      <c r="E205" s="19">
        <v>45513</v>
      </c>
      <c r="F205" s="6">
        <v>30337.43</v>
      </c>
      <c r="G205" s="6" t="s">
        <v>47</v>
      </c>
      <c r="H205" s="18">
        <v>45513</v>
      </c>
      <c r="I205" s="17">
        <f>IF(G205="Paid",D205,IF(OR(G205="Pending",G205="Overdue"),E205,"Invalid Status"))</f>
        <v>45513</v>
      </c>
    </row>
    <row r="206" spans="1:9">
      <c r="A206" s="6" t="s">
        <v>254</v>
      </c>
      <c r="B206" s="13" t="str">
        <f t="shared" si="3"/>
        <v>ORD81785</v>
      </c>
      <c r="C206" s="12" t="s">
        <v>49</v>
      </c>
      <c r="D206" s="14">
        <v>45287</v>
      </c>
      <c r="E206" s="19">
        <v>45287</v>
      </c>
      <c r="F206" s="6">
        <v>10593.8</v>
      </c>
      <c r="G206" s="6" t="s">
        <v>50</v>
      </c>
      <c r="H206" s="18">
        <v>45287</v>
      </c>
      <c r="I206" s="17">
        <f>IF(G206="Paid",D206,IF(OR(G206="Pending",G206="Overdue"),E206,"Invalid Status"))</f>
        <v>45287</v>
      </c>
    </row>
    <row r="207" spans="1:9">
      <c r="A207" s="6" t="s">
        <v>255</v>
      </c>
      <c r="B207" s="13" t="str">
        <f t="shared" si="3"/>
        <v>ORD81786</v>
      </c>
      <c r="C207" s="12" t="s">
        <v>41</v>
      </c>
      <c r="D207" s="14">
        <v>45569</v>
      </c>
      <c r="E207" s="19">
        <v>45575</v>
      </c>
      <c r="F207" s="6">
        <v>28394.06</v>
      </c>
      <c r="G207" s="6" t="s">
        <v>47</v>
      </c>
      <c r="H207" s="18">
        <v>45575</v>
      </c>
      <c r="I207" s="17">
        <f>IF(G207="Paid",D207,IF(OR(G207="Pending",G207="Overdue"),E207,"Invalid Status"))</f>
        <v>45575</v>
      </c>
    </row>
    <row r="208" spans="1:9">
      <c r="A208" s="6" t="s">
        <v>256</v>
      </c>
      <c r="B208" s="13" t="str">
        <f t="shared" si="3"/>
        <v>ORD81787</v>
      </c>
      <c r="C208" s="12" t="s">
        <v>46</v>
      </c>
      <c r="D208" s="14">
        <v>45473</v>
      </c>
      <c r="E208" s="19">
        <v>45612</v>
      </c>
      <c r="F208" s="6">
        <v>3450.5</v>
      </c>
      <c r="G208" s="6" t="s">
        <v>42</v>
      </c>
      <c r="H208" s="18">
        <v>45612</v>
      </c>
      <c r="I208" s="17">
        <f>IF(G208="Paid",D208,IF(OR(G208="Pending",G208="Overdue"),E208,"Invalid Status"))</f>
        <v>45612</v>
      </c>
    </row>
    <row r="209" spans="1:9">
      <c r="A209" s="6" t="s">
        <v>257</v>
      </c>
      <c r="B209" s="13" t="str">
        <f t="shared" si="3"/>
        <v>ORD81788</v>
      </c>
      <c r="C209" s="12" t="s">
        <v>44</v>
      </c>
      <c r="D209" s="14">
        <v>45580</v>
      </c>
      <c r="E209" s="19">
        <v>45580</v>
      </c>
      <c r="F209" s="6">
        <v>1123.98</v>
      </c>
      <c r="G209" s="6" t="s">
        <v>50</v>
      </c>
      <c r="H209" s="18">
        <v>45580</v>
      </c>
      <c r="I209" s="17">
        <f>IF(G209="Paid",D209,IF(OR(G209="Pending",G209="Overdue"),E209,"Invalid Status"))</f>
        <v>45580</v>
      </c>
    </row>
    <row r="210" spans="1:9">
      <c r="A210" s="6" t="s">
        <v>258</v>
      </c>
      <c r="B210" s="13" t="str">
        <f t="shared" si="3"/>
        <v>ORD81789</v>
      </c>
      <c r="C210" s="12" t="s">
        <v>44</v>
      </c>
      <c r="D210" s="14">
        <v>45521</v>
      </c>
      <c r="E210" s="19">
        <v>45442</v>
      </c>
      <c r="F210" s="6">
        <v>29496.639999999999</v>
      </c>
      <c r="G210" s="6" t="s">
        <v>42</v>
      </c>
      <c r="H210" s="18">
        <v>45442</v>
      </c>
      <c r="I210" s="17">
        <f>IF(G210="Paid",D210,IF(OR(G210="Pending",G210="Overdue"),E210,"Invalid Status"))</f>
        <v>45442</v>
      </c>
    </row>
    <row r="211" spans="1:9">
      <c r="A211" s="6" t="s">
        <v>259</v>
      </c>
      <c r="B211" s="13" t="str">
        <f t="shared" si="3"/>
        <v>ORD81790</v>
      </c>
      <c r="C211" s="12" t="s">
        <v>44</v>
      </c>
      <c r="D211" s="14">
        <v>45599</v>
      </c>
      <c r="E211" s="19">
        <v>45355</v>
      </c>
      <c r="F211" s="6">
        <v>11157.57</v>
      </c>
      <c r="G211" s="6" t="s">
        <v>42</v>
      </c>
      <c r="H211" s="18">
        <v>45355</v>
      </c>
      <c r="I211" s="17">
        <f>IF(G211="Paid",D211,IF(OR(G211="Pending",G211="Overdue"),E211,"Invalid Status"))</f>
        <v>45355</v>
      </c>
    </row>
    <row r="212" spans="1:9">
      <c r="A212" s="6" t="s">
        <v>260</v>
      </c>
      <c r="B212" s="13" t="str">
        <f t="shared" si="3"/>
        <v>ORD81791</v>
      </c>
      <c r="C212" s="12" t="s">
        <v>46</v>
      </c>
      <c r="D212" s="14">
        <v>45371</v>
      </c>
      <c r="E212" s="19">
        <v>45630</v>
      </c>
      <c r="F212" s="6">
        <v>39943.21</v>
      </c>
      <c r="G212" s="6" t="s">
        <v>47</v>
      </c>
      <c r="H212" s="18">
        <v>45630</v>
      </c>
      <c r="I212" s="17">
        <f>IF(G212="Paid",D212,IF(OR(G212="Pending",G212="Overdue"),E212,"Invalid Status"))</f>
        <v>45630</v>
      </c>
    </row>
    <row r="213" spans="1:9">
      <c r="A213" s="6" t="s">
        <v>261</v>
      </c>
      <c r="B213" s="13" t="str">
        <f t="shared" si="3"/>
        <v>ORD81792</v>
      </c>
      <c r="C213" s="12" t="s">
        <v>44</v>
      </c>
      <c r="D213" s="14">
        <v>45359</v>
      </c>
      <c r="E213" s="19">
        <v>45359</v>
      </c>
      <c r="F213" s="6">
        <v>29970.99</v>
      </c>
      <c r="G213" s="6" t="s">
        <v>50</v>
      </c>
      <c r="H213" s="18">
        <v>45359</v>
      </c>
      <c r="I213" s="17">
        <f>IF(G213="Paid",D213,IF(OR(G213="Pending",G213="Overdue"),E213,"Invalid Status"))</f>
        <v>45359</v>
      </c>
    </row>
    <row r="214" spans="1:9">
      <c r="A214" s="6" t="s">
        <v>262</v>
      </c>
      <c r="B214" s="13" t="str">
        <f t="shared" si="3"/>
        <v>ORD81793</v>
      </c>
      <c r="C214" s="12" t="s">
        <v>41</v>
      </c>
      <c r="D214" s="14">
        <v>45314</v>
      </c>
      <c r="E214" s="19">
        <v>45398</v>
      </c>
      <c r="F214" s="6">
        <v>2044.96</v>
      </c>
      <c r="G214" s="6" t="s">
        <v>47</v>
      </c>
      <c r="H214" s="18">
        <v>45398</v>
      </c>
      <c r="I214" s="17">
        <f>IF(G214="Paid",D214,IF(OR(G214="Pending",G214="Overdue"),E214,"Invalid Status"))</f>
        <v>45398</v>
      </c>
    </row>
    <row r="215" spans="1:9">
      <c r="A215" s="6" t="s">
        <v>263</v>
      </c>
      <c r="B215" s="13" t="str">
        <f t="shared" si="3"/>
        <v>ORD81794</v>
      </c>
      <c r="C215" s="12" t="s">
        <v>44</v>
      </c>
      <c r="D215" s="14">
        <v>45600</v>
      </c>
      <c r="E215" s="19">
        <v>45294</v>
      </c>
      <c r="F215" s="6">
        <v>20494.05</v>
      </c>
      <c r="G215" s="6" t="s">
        <v>47</v>
      </c>
      <c r="H215" s="18">
        <v>45294</v>
      </c>
      <c r="I215" s="17">
        <f>IF(G215="Paid",D215,IF(OR(G215="Pending",G215="Overdue"),E215,"Invalid Status"))</f>
        <v>45294</v>
      </c>
    </row>
    <row r="216" spans="1:9">
      <c r="A216" s="6" t="s">
        <v>264</v>
      </c>
      <c r="B216" s="13" t="str">
        <f t="shared" si="3"/>
        <v>ORD81795</v>
      </c>
      <c r="C216" s="12" t="s">
        <v>49</v>
      </c>
      <c r="D216" s="14">
        <v>45383</v>
      </c>
      <c r="E216" s="19">
        <v>45484</v>
      </c>
      <c r="F216" s="6">
        <v>39458.76</v>
      </c>
      <c r="G216" s="6" t="s">
        <v>47</v>
      </c>
      <c r="H216" s="18">
        <v>45484</v>
      </c>
      <c r="I216" s="17">
        <f>IF(G216="Paid",D216,IF(OR(G216="Pending",G216="Overdue"),E216,"Invalid Status"))</f>
        <v>45484</v>
      </c>
    </row>
    <row r="217" spans="1:9">
      <c r="A217" s="6" t="s">
        <v>265</v>
      </c>
      <c r="B217" s="13" t="str">
        <f t="shared" si="3"/>
        <v>ORD81796</v>
      </c>
      <c r="C217" s="12" t="s">
        <v>49</v>
      </c>
      <c r="D217" s="14">
        <v>45301</v>
      </c>
      <c r="E217" s="19">
        <v>45301</v>
      </c>
      <c r="F217" s="6">
        <v>7032.89</v>
      </c>
      <c r="G217" s="6" t="s">
        <v>50</v>
      </c>
      <c r="H217" s="18">
        <v>45301</v>
      </c>
      <c r="I217" s="17">
        <f>IF(G217="Paid",D217,IF(OR(G217="Pending",G217="Overdue"),E217,"Invalid Status"))</f>
        <v>45301</v>
      </c>
    </row>
    <row r="218" spans="1:9">
      <c r="A218" s="6" t="s">
        <v>266</v>
      </c>
      <c r="B218" s="13" t="str">
        <f t="shared" si="3"/>
        <v>ORD81797</v>
      </c>
      <c r="C218" s="12" t="s">
        <v>41</v>
      </c>
      <c r="D218" s="14">
        <v>45528</v>
      </c>
      <c r="E218" s="19">
        <v>45436</v>
      </c>
      <c r="F218" s="6">
        <v>35081.46</v>
      </c>
      <c r="G218" s="6" t="s">
        <v>42</v>
      </c>
      <c r="H218" s="18">
        <v>45436</v>
      </c>
      <c r="I218" s="17">
        <f>IF(G218="Paid",D218,IF(OR(G218="Pending",G218="Overdue"),E218,"Invalid Status"))</f>
        <v>45436</v>
      </c>
    </row>
    <row r="219" spans="1:9">
      <c r="A219" s="6" t="s">
        <v>267</v>
      </c>
      <c r="B219" s="13" t="str">
        <f t="shared" si="3"/>
        <v>ORD81798</v>
      </c>
      <c r="C219" s="12" t="s">
        <v>46</v>
      </c>
      <c r="D219" s="14">
        <v>45382</v>
      </c>
      <c r="E219" s="19">
        <v>45503</v>
      </c>
      <c r="F219" s="6">
        <v>48705</v>
      </c>
      <c r="G219" s="6" t="s">
        <v>42</v>
      </c>
      <c r="H219" s="18">
        <v>45503</v>
      </c>
      <c r="I219" s="17">
        <f>IF(G219="Paid",D219,IF(OR(G219="Pending",G219="Overdue"),E219,"Invalid Status"))</f>
        <v>45503</v>
      </c>
    </row>
    <row r="220" spans="1:9">
      <c r="A220" s="6" t="s">
        <v>268</v>
      </c>
      <c r="B220" s="13" t="str">
        <f t="shared" si="3"/>
        <v>ORD81799</v>
      </c>
      <c r="C220" s="12" t="s">
        <v>41</v>
      </c>
      <c r="D220" s="14">
        <v>45492</v>
      </c>
      <c r="E220" s="19">
        <v>45481</v>
      </c>
      <c r="F220" s="6">
        <v>37552.53</v>
      </c>
      <c r="G220" s="6" t="s">
        <v>47</v>
      </c>
      <c r="H220" s="18">
        <v>45481</v>
      </c>
      <c r="I220" s="17">
        <f>IF(G220="Paid",D220,IF(OR(G220="Pending",G220="Overdue"),E220,"Invalid Status"))</f>
        <v>45481</v>
      </c>
    </row>
    <row r="221" spans="1:9">
      <c r="A221" s="6" t="s">
        <v>269</v>
      </c>
      <c r="B221" s="13" t="str">
        <f t="shared" si="3"/>
        <v>ORD81800</v>
      </c>
      <c r="C221" s="12" t="s">
        <v>41</v>
      </c>
      <c r="D221" s="14">
        <v>45278</v>
      </c>
      <c r="E221" s="19">
        <v>45284</v>
      </c>
      <c r="F221" s="6">
        <v>33441.71</v>
      </c>
      <c r="G221" s="6" t="s">
        <v>47</v>
      </c>
      <c r="H221" s="18">
        <v>45284</v>
      </c>
      <c r="I221" s="17">
        <f>IF(G221="Paid",D221,IF(OR(G221="Pending",G221="Overdue"),E221,"Invalid Status"))</f>
        <v>45284</v>
      </c>
    </row>
    <row r="222" spans="1:9">
      <c r="A222" s="6" t="s">
        <v>270</v>
      </c>
      <c r="B222" s="13" t="str">
        <f t="shared" si="3"/>
        <v>ORD81801</v>
      </c>
      <c r="C222" s="12" t="s">
        <v>41</v>
      </c>
      <c r="D222" s="14">
        <v>45475</v>
      </c>
      <c r="E222" s="19">
        <v>45475</v>
      </c>
      <c r="F222" s="6">
        <v>23087.31</v>
      </c>
      <c r="G222" s="6" t="s">
        <v>50</v>
      </c>
      <c r="H222" s="18">
        <v>45475</v>
      </c>
      <c r="I222" s="17">
        <f>IF(G222="Paid",D222,IF(OR(G222="Pending",G222="Overdue"),E222,"Invalid Status"))</f>
        <v>45475</v>
      </c>
    </row>
    <row r="223" spans="1:9">
      <c r="A223" s="6" t="s">
        <v>271</v>
      </c>
      <c r="B223" s="13" t="str">
        <f t="shared" si="3"/>
        <v>ORD81802</v>
      </c>
      <c r="C223" s="12" t="s">
        <v>49</v>
      </c>
      <c r="D223" s="14">
        <v>45469</v>
      </c>
      <c r="E223" s="19">
        <v>45468</v>
      </c>
      <c r="F223" s="6">
        <v>40029.57</v>
      </c>
      <c r="G223" s="6" t="s">
        <v>47</v>
      </c>
      <c r="H223" s="18">
        <v>45468</v>
      </c>
      <c r="I223" s="17">
        <f>IF(G223="Paid",D223,IF(OR(G223="Pending",G223="Overdue"),E223,"Invalid Status"))</f>
        <v>45468</v>
      </c>
    </row>
    <row r="224" spans="1:9">
      <c r="A224" s="6" t="s">
        <v>272</v>
      </c>
      <c r="B224" s="13" t="str">
        <f t="shared" si="3"/>
        <v>ORD81803</v>
      </c>
      <c r="C224" s="12" t="s">
        <v>41</v>
      </c>
      <c r="D224" s="14">
        <v>45491</v>
      </c>
      <c r="E224" s="19">
        <v>45513</v>
      </c>
      <c r="F224" s="6">
        <v>20100.490000000002</v>
      </c>
      <c r="G224" s="6" t="s">
        <v>42</v>
      </c>
      <c r="H224" s="18">
        <v>45513</v>
      </c>
      <c r="I224" s="17">
        <f>IF(G224="Paid",D224,IF(OR(G224="Pending",G224="Overdue"),E224,"Invalid Status"))</f>
        <v>45513</v>
      </c>
    </row>
    <row r="225" spans="1:9">
      <c r="A225" s="6" t="s">
        <v>273</v>
      </c>
      <c r="B225" s="13" t="str">
        <f t="shared" si="3"/>
        <v>ORD81804</v>
      </c>
      <c r="C225" s="12" t="s">
        <v>41</v>
      </c>
      <c r="D225" s="14">
        <v>45481</v>
      </c>
      <c r="E225" s="19">
        <v>45481</v>
      </c>
      <c r="F225" s="6">
        <v>10465.24</v>
      </c>
      <c r="G225" s="6" t="s">
        <v>50</v>
      </c>
      <c r="H225" s="18">
        <v>45481</v>
      </c>
      <c r="I225" s="17">
        <f>IF(G225="Paid",D225,IF(OR(G225="Pending",G225="Overdue"),E225,"Invalid Status"))</f>
        <v>45481</v>
      </c>
    </row>
    <row r="226" spans="1:9">
      <c r="A226" s="6" t="s">
        <v>274</v>
      </c>
      <c r="B226" s="13" t="str">
        <f t="shared" si="3"/>
        <v>ORD81805</v>
      </c>
      <c r="C226" s="12" t="s">
        <v>46</v>
      </c>
      <c r="D226" s="14">
        <v>45300</v>
      </c>
      <c r="E226" s="19">
        <v>45292</v>
      </c>
      <c r="F226" s="6">
        <v>43107.43</v>
      </c>
      <c r="G226" s="6" t="s">
        <v>47</v>
      </c>
      <c r="H226" s="18">
        <v>45292</v>
      </c>
      <c r="I226" s="17">
        <f>IF(G226="Paid",D226,IF(OR(G226="Pending",G226="Overdue"),E226,"Invalid Status"))</f>
        <v>45292</v>
      </c>
    </row>
    <row r="227" spans="1:9">
      <c r="A227" s="6" t="s">
        <v>275</v>
      </c>
      <c r="B227" s="13" t="str">
        <f t="shared" si="3"/>
        <v>ORD81806</v>
      </c>
      <c r="C227" s="12" t="s">
        <v>49</v>
      </c>
      <c r="D227" s="14">
        <v>45304</v>
      </c>
      <c r="E227" s="19">
        <v>45451</v>
      </c>
      <c r="F227" s="6">
        <v>23664.97</v>
      </c>
      <c r="G227" s="6" t="s">
        <v>42</v>
      </c>
      <c r="H227" s="18">
        <v>45451</v>
      </c>
      <c r="I227" s="17">
        <f>IF(G227="Paid",D227,IF(OR(G227="Pending",G227="Overdue"),E227,"Invalid Status"))</f>
        <v>45451</v>
      </c>
    </row>
    <row r="228" spans="1:9">
      <c r="A228" s="6" t="s">
        <v>276</v>
      </c>
      <c r="B228" s="13" t="str">
        <f t="shared" si="3"/>
        <v>ORD81807</v>
      </c>
      <c r="C228" s="12" t="s">
        <v>46</v>
      </c>
      <c r="D228" s="14">
        <v>45410</v>
      </c>
      <c r="E228" s="19">
        <v>45410</v>
      </c>
      <c r="F228" s="6">
        <v>19541.46</v>
      </c>
      <c r="G228" s="6" t="s">
        <v>50</v>
      </c>
      <c r="H228" s="18">
        <v>45410</v>
      </c>
      <c r="I228" s="17">
        <f>IF(G228="Paid",D228,IF(OR(G228="Pending",G228="Overdue"),E228,"Invalid Status"))</f>
        <v>45410</v>
      </c>
    </row>
    <row r="229" spans="1:9">
      <c r="A229" s="6" t="s">
        <v>277</v>
      </c>
      <c r="B229" s="13" t="str">
        <f t="shared" si="3"/>
        <v>ORD81808</v>
      </c>
      <c r="C229" s="12" t="s">
        <v>44</v>
      </c>
      <c r="D229" s="14">
        <v>45310</v>
      </c>
      <c r="E229" s="19">
        <v>45569</v>
      </c>
      <c r="F229" s="6">
        <v>38927.42</v>
      </c>
      <c r="G229" s="6" t="s">
        <v>47</v>
      </c>
      <c r="H229" s="18">
        <v>45569</v>
      </c>
      <c r="I229" s="17">
        <f>IF(G229="Paid",D229,IF(OR(G229="Pending",G229="Overdue"),E229,"Invalid Status"))</f>
        <v>45569</v>
      </c>
    </row>
    <row r="230" spans="1:9">
      <c r="A230" s="6" t="s">
        <v>278</v>
      </c>
      <c r="B230" s="13" t="str">
        <f t="shared" si="3"/>
        <v>ORD81809</v>
      </c>
      <c r="C230" s="12" t="s">
        <v>46</v>
      </c>
      <c r="D230" s="14">
        <v>45539</v>
      </c>
      <c r="E230" s="19">
        <v>45482</v>
      </c>
      <c r="F230" s="6">
        <v>13149.99</v>
      </c>
      <c r="G230" s="6" t="s">
        <v>42</v>
      </c>
      <c r="H230" s="18">
        <v>45482</v>
      </c>
      <c r="I230" s="17">
        <f>IF(G230="Paid",D230,IF(OR(G230="Pending",G230="Overdue"),E230,"Invalid Status"))</f>
        <v>45482</v>
      </c>
    </row>
    <row r="231" spans="1:9">
      <c r="A231" s="6" t="s">
        <v>279</v>
      </c>
      <c r="B231" s="13" t="str">
        <f t="shared" si="3"/>
        <v>ORD81810</v>
      </c>
      <c r="C231" s="12" t="s">
        <v>49</v>
      </c>
      <c r="D231" s="14">
        <v>45568</v>
      </c>
      <c r="E231" s="19">
        <v>45602</v>
      </c>
      <c r="F231" s="6">
        <v>2707.77</v>
      </c>
      <c r="G231" s="6" t="s">
        <v>47</v>
      </c>
      <c r="H231" s="18">
        <v>45602</v>
      </c>
      <c r="I231" s="17">
        <f>IF(G231="Paid",D231,IF(OR(G231="Pending",G231="Overdue"),E231,"Invalid Status"))</f>
        <v>45602</v>
      </c>
    </row>
    <row r="232" spans="1:9">
      <c r="A232" s="6" t="s">
        <v>280</v>
      </c>
      <c r="B232" s="13" t="str">
        <f t="shared" si="3"/>
        <v>ORD81811</v>
      </c>
      <c r="C232" s="12" t="s">
        <v>41</v>
      </c>
      <c r="D232" s="14">
        <v>45577</v>
      </c>
      <c r="E232" s="19">
        <v>45577</v>
      </c>
      <c r="F232" s="6">
        <v>46910.92</v>
      </c>
      <c r="G232" s="6" t="s">
        <v>50</v>
      </c>
      <c r="H232" s="18">
        <v>45577</v>
      </c>
      <c r="I232" s="17">
        <f>IF(G232="Paid",D232,IF(OR(G232="Pending",G232="Overdue"),E232,"Invalid Status"))</f>
        <v>45577</v>
      </c>
    </row>
    <row r="233" spans="1:9">
      <c r="A233" s="6" t="s">
        <v>281</v>
      </c>
      <c r="B233" s="13" t="str">
        <f t="shared" si="3"/>
        <v>ORD81812</v>
      </c>
      <c r="C233" s="12" t="s">
        <v>44</v>
      </c>
      <c r="D233" s="14">
        <v>45532</v>
      </c>
      <c r="E233" s="19">
        <v>45590</v>
      </c>
      <c r="F233" s="6">
        <v>1547.91</v>
      </c>
      <c r="G233" s="6" t="s">
        <v>42</v>
      </c>
      <c r="H233" s="18">
        <v>45590</v>
      </c>
      <c r="I233" s="17">
        <f>IF(G233="Paid",D233,IF(OR(G233="Pending",G233="Overdue"),E233,"Invalid Status"))</f>
        <v>45590</v>
      </c>
    </row>
    <row r="234" spans="1:9">
      <c r="A234" s="6" t="s">
        <v>282</v>
      </c>
      <c r="B234" s="13" t="str">
        <f t="shared" si="3"/>
        <v>ORD81813</v>
      </c>
      <c r="C234" s="12" t="s">
        <v>49</v>
      </c>
      <c r="D234" s="14">
        <v>45350</v>
      </c>
      <c r="E234" s="19">
        <v>45483</v>
      </c>
      <c r="F234" s="6">
        <v>23640.67</v>
      </c>
      <c r="G234" s="6" t="s">
        <v>42</v>
      </c>
      <c r="H234" s="18">
        <v>45483</v>
      </c>
      <c r="I234" s="17">
        <f>IF(G234="Paid",D234,IF(OR(G234="Pending",G234="Overdue"),E234,"Invalid Status"))</f>
        <v>45483</v>
      </c>
    </row>
    <row r="235" spans="1:9">
      <c r="A235" s="6" t="s">
        <v>283</v>
      </c>
      <c r="B235" s="13" t="str">
        <f t="shared" si="3"/>
        <v>ORD81814</v>
      </c>
      <c r="C235" s="12" t="s">
        <v>46</v>
      </c>
      <c r="D235" s="14">
        <v>45444</v>
      </c>
      <c r="E235" s="19">
        <v>45444</v>
      </c>
      <c r="F235" s="6">
        <v>48468.54</v>
      </c>
      <c r="G235" s="6" t="s">
        <v>50</v>
      </c>
      <c r="H235" s="18">
        <v>45444</v>
      </c>
      <c r="I235" s="17">
        <f>IF(G235="Paid",D235,IF(OR(G235="Pending",G235="Overdue"),E235,"Invalid Status"))</f>
        <v>45444</v>
      </c>
    </row>
    <row r="236" spans="1:9">
      <c r="A236" s="6" t="s">
        <v>284</v>
      </c>
      <c r="B236" s="13" t="str">
        <f t="shared" si="3"/>
        <v>ORD81815</v>
      </c>
      <c r="C236" s="12" t="s">
        <v>49</v>
      </c>
      <c r="D236" s="14">
        <v>45475</v>
      </c>
      <c r="E236" s="19">
        <v>45475</v>
      </c>
      <c r="F236" s="6">
        <v>39451.01</v>
      </c>
      <c r="G236" s="6" t="s">
        <v>50</v>
      </c>
      <c r="H236" s="18">
        <v>45475</v>
      </c>
      <c r="I236" s="17">
        <f>IF(G236="Paid",D236,IF(OR(G236="Pending",G236="Overdue"),E236,"Invalid Status"))</f>
        <v>45475</v>
      </c>
    </row>
    <row r="237" spans="1:9">
      <c r="A237" s="6" t="s">
        <v>285</v>
      </c>
      <c r="B237" s="13" t="str">
        <f t="shared" si="3"/>
        <v>ORD81816</v>
      </c>
      <c r="C237" s="12" t="s">
        <v>49</v>
      </c>
      <c r="D237" s="14">
        <v>45596</v>
      </c>
      <c r="E237" s="19">
        <v>45348</v>
      </c>
      <c r="F237" s="6">
        <v>43618.5</v>
      </c>
      <c r="G237" s="6" t="s">
        <v>47</v>
      </c>
      <c r="H237" s="18">
        <v>45348</v>
      </c>
      <c r="I237" s="17">
        <f>IF(G237="Paid",D237,IF(OR(G237="Pending",G237="Overdue"),E237,"Invalid Status"))</f>
        <v>45348</v>
      </c>
    </row>
    <row r="238" spans="1:9">
      <c r="A238" s="6" t="s">
        <v>286</v>
      </c>
      <c r="B238" s="13" t="str">
        <f>"ORD" &amp; TEXT(RIGHT(B237,5) +1, "00000")</f>
        <v>ORD81817</v>
      </c>
      <c r="C238" s="12" t="s">
        <v>41</v>
      </c>
      <c r="D238" s="14">
        <v>45637</v>
      </c>
      <c r="E238" s="19">
        <v>45637</v>
      </c>
      <c r="F238" s="6">
        <v>41926.089999999997</v>
      </c>
      <c r="G238" s="6" t="s">
        <v>50</v>
      </c>
      <c r="H238" s="18">
        <v>45637</v>
      </c>
      <c r="I238" s="17">
        <f>IF(G238="Paid",D238,IF(OR(G238="Pending",G238="Overdue"),E238,"Invalid Status"))</f>
        <v>45637</v>
      </c>
    </row>
    <row r="239" spans="1:9">
      <c r="A239" s="6" t="s">
        <v>287</v>
      </c>
      <c r="B239" s="13" t="str">
        <f t="shared" si="3"/>
        <v>ORD81818</v>
      </c>
      <c r="C239" s="12" t="s">
        <v>41</v>
      </c>
      <c r="D239" s="14">
        <v>45516</v>
      </c>
      <c r="E239" s="19">
        <v>45327</v>
      </c>
      <c r="F239" s="6">
        <v>10334.26</v>
      </c>
      <c r="G239" s="6" t="s">
        <v>47</v>
      </c>
      <c r="H239" s="18">
        <v>45327</v>
      </c>
      <c r="I239" s="17">
        <f>IF(G239="Paid",D239,IF(OR(G239="Pending",G239="Overdue"),E239,"Invalid Status"))</f>
        <v>45327</v>
      </c>
    </row>
    <row r="240" spans="1:9">
      <c r="A240" s="6" t="s">
        <v>288</v>
      </c>
      <c r="B240" s="13" t="str">
        <f>"ORD" &amp; TEXT(RIGHT(B239,5) +1, "00000")</f>
        <v>ORD81819</v>
      </c>
      <c r="C240" s="12" t="s">
        <v>41</v>
      </c>
      <c r="D240" s="14">
        <v>45357</v>
      </c>
      <c r="E240" s="19">
        <v>45342</v>
      </c>
      <c r="F240" s="6">
        <v>34002.75</v>
      </c>
      <c r="G240" s="6" t="s">
        <v>47</v>
      </c>
      <c r="H240" s="18">
        <v>45342</v>
      </c>
      <c r="I240" s="17">
        <f>IF(G240="Paid",D240,IF(OR(G240="Pending",G240="Overdue"),E240,"Invalid Status"))</f>
        <v>45342</v>
      </c>
    </row>
    <row r="241" spans="1:9">
      <c r="A241" s="6" t="s">
        <v>289</v>
      </c>
      <c r="B241" s="13" t="str">
        <f>"ORD" &amp; TEXT(RIGHT(B240,5) +1, "00000")</f>
        <v>ORD81820</v>
      </c>
      <c r="C241" s="12" t="s">
        <v>41</v>
      </c>
      <c r="D241" s="14">
        <v>45409</v>
      </c>
      <c r="E241" s="19">
        <v>45447</v>
      </c>
      <c r="F241" s="6">
        <v>36429.85</v>
      </c>
      <c r="G241" s="6" t="s">
        <v>42</v>
      </c>
      <c r="H241" s="18">
        <v>45447</v>
      </c>
      <c r="I241" s="17">
        <f>IF(G241="Paid",D241,IF(OR(G241="Pending",G241="Overdue"),E241,"Invalid Status"))</f>
        <v>45447</v>
      </c>
    </row>
    <row r="242" spans="1:9">
      <c r="A242" s="6" t="s">
        <v>290</v>
      </c>
      <c r="B242" s="13" t="str">
        <f t="shared" si="3"/>
        <v>ORD81821</v>
      </c>
      <c r="C242" s="12" t="s">
        <v>49</v>
      </c>
      <c r="D242" s="14">
        <v>45592</v>
      </c>
      <c r="E242" s="19">
        <v>45592</v>
      </c>
      <c r="F242" s="6">
        <v>25075.96</v>
      </c>
      <c r="G242" s="6" t="s">
        <v>50</v>
      </c>
      <c r="H242" s="18">
        <v>45592</v>
      </c>
      <c r="I242" s="17">
        <f>IF(G242="Paid",D242,IF(OR(G242="Pending",G242="Overdue"),E242,"Invalid Status"))</f>
        <v>45592</v>
      </c>
    </row>
    <row r="243" spans="1:9">
      <c r="A243" s="6" t="s">
        <v>291</v>
      </c>
      <c r="B243" s="13" t="str">
        <f t="shared" si="3"/>
        <v>ORD81822</v>
      </c>
      <c r="C243" s="12" t="s">
        <v>44</v>
      </c>
      <c r="D243" s="14">
        <v>45291</v>
      </c>
      <c r="E243" s="19">
        <v>45291</v>
      </c>
      <c r="F243" s="6">
        <v>24020.69</v>
      </c>
      <c r="G243" s="6" t="s">
        <v>50</v>
      </c>
      <c r="H243" s="18">
        <v>45291</v>
      </c>
      <c r="I243" s="17">
        <f>IF(G243="Paid",D243,IF(OR(G243="Pending",G243="Overdue"),E243,"Invalid Status"))</f>
        <v>45291</v>
      </c>
    </row>
    <row r="244" spans="1:9">
      <c r="A244" s="6" t="s">
        <v>292</v>
      </c>
      <c r="B244" s="13" t="str">
        <f t="shared" si="3"/>
        <v>ORD81823</v>
      </c>
      <c r="C244" s="12" t="s">
        <v>46</v>
      </c>
      <c r="D244" s="14">
        <v>45330</v>
      </c>
      <c r="E244" s="19">
        <v>45330</v>
      </c>
      <c r="F244" s="6">
        <v>19705.830000000002</v>
      </c>
      <c r="G244" s="6" t="s">
        <v>50</v>
      </c>
      <c r="H244" s="18">
        <v>45330</v>
      </c>
      <c r="I244" s="17">
        <f>IF(G244="Paid",D244,IF(OR(G244="Pending",G244="Overdue"),E244,"Invalid Status"))</f>
        <v>45330</v>
      </c>
    </row>
    <row r="245" spans="1:9">
      <c r="A245" s="6" t="s">
        <v>293</v>
      </c>
      <c r="B245" s="13" t="str">
        <f t="shared" si="3"/>
        <v>ORD81824</v>
      </c>
      <c r="C245" s="12" t="s">
        <v>44</v>
      </c>
      <c r="D245" s="14">
        <v>45575</v>
      </c>
      <c r="E245" s="19">
        <v>45575</v>
      </c>
      <c r="F245" s="6">
        <v>14115.1</v>
      </c>
      <c r="G245" s="6" t="s">
        <v>50</v>
      </c>
      <c r="H245" s="18">
        <v>45575</v>
      </c>
      <c r="I245" s="17">
        <f>IF(G245="Paid",D245,IF(OR(G245="Pending",G245="Overdue"),E245,"Invalid Status"))</f>
        <v>45575</v>
      </c>
    </row>
    <row r="246" spans="1:9">
      <c r="A246" s="6" t="s">
        <v>294</v>
      </c>
      <c r="B246" s="13" t="str">
        <f t="shared" si="3"/>
        <v>ORD81825</v>
      </c>
      <c r="C246" s="12" t="s">
        <v>44</v>
      </c>
      <c r="D246" s="14">
        <v>45477</v>
      </c>
      <c r="E246" s="19">
        <v>45538</v>
      </c>
      <c r="F246" s="6">
        <v>40792.449999999997</v>
      </c>
      <c r="G246" s="6" t="s">
        <v>47</v>
      </c>
      <c r="H246" s="18">
        <v>45538</v>
      </c>
      <c r="I246" s="17">
        <f>IF(G246="Paid",D246,IF(OR(G246="Pending",G246="Overdue"),E246,"Invalid Status"))</f>
        <v>45538</v>
      </c>
    </row>
    <row r="247" spans="1:9">
      <c r="A247" s="6" t="s">
        <v>295</v>
      </c>
      <c r="B247" s="13" t="str">
        <f t="shared" si="3"/>
        <v>ORD81826</v>
      </c>
      <c r="C247" s="12" t="s">
        <v>49</v>
      </c>
      <c r="D247" s="14">
        <v>45361</v>
      </c>
      <c r="E247" s="19">
        <v>45361</v>
      </c>
      <c r="F247" s="6">
        <v>6599.8</v>
      </c>
      <c r="G247" s="6" t="s">
        <v>50</v>
      </c>
      <c r="H247" s="18">
        <v>45361</v>
      </c>
      <c r="I247" s="17">
        <f>IF(G247="Paid",D247,IF(OR(G247="Pending",G247="Overdue"),E247,"Invalid Status"))</f>
        <v>45361</v>
      </c>
    </row>
    <row r="248" spans="1:9">
      <c r="A248" s="6" t="s">
        <v>296</v>
      </c>
      <c r="B248" s="13" t="str">
        <f t="shared" si="3"/>
        <v>ORD81827</v>
      </c>
      <c r="C248" s="12" t="s">
        <v>44</v>
      </c>
      <c r="D248" s="14">
        <v>45543</v>
      </c>
      <c r="E248" s="19">
        <v>45630</v>
      </c>
      <c r="F248" s="6">
        <v>3337.35</v>
      </c>
      <c r="G248" s="6" t="s">
        <v>47</v>
      </c>
      <c r="H248" s="18">
        <v>45630</v>
      </c>
      <c r="I248" s="17">
        <f>IF(G248="Paid",D248,IF(OR(G248="Pending",G248="Overdue"),E248,"Invalid Status"))</f>
        <v>45630</v>
      </c>
    </row>
    <row r="249" spans="1:9">
      <c r="A249" s="6" t="s">
        <v>297</v>
      </c>
      <c r="B249" s="13" t="str">
        <f t="shared" si="3"/>
        <v>ORD81828</v>
      </c>
      <c r="C249" s="12" t="s">
        <v>44</v>
      </c>
      <c r="D249" s="14">
        <v>45524</v>
      </c>
      <c r="E249" s="19">
        <v>45324</v>
      </c>
      <c r="F249" s="6">
        <v>5893.3</v>
      </c>
      <c r="G249" s="6" t="s">
        <v>47</v>
      </c>
      <c r="H249" s="18">
        <v>45324</v>
      </c>
      <c r="I249" s="17">
        <f>IF(G249="Paid",D249,IF(OR(G249="Pending",G249="Overdue"),E249,"Invalid Status"))</f>
        <v>45324</v>
      </c>
    </row>
    <row r="250" spans="1:9">
      <c r="A250" s="6" t="s">
        <v>298</v>
      </c>
      <c r="B250" s="13" t="str">
        <f t="shared" si="3"/>
        <v>ORD81829</v>
      </c>
      <c r="C250" s="12" t="s">
        <v>41</v>
      </c>
      <c r="D250" s="14">
        <v>45513</v>
      </c>
      <c r="E250" s="19">
        <v>45642</v>
      </c>
      <c r="F250" s="6">
        <v>12155.95</v>
      </c>
      <c r="G250" s="6" t="s">
        <v>42</v>
      </c>
      <c r="H250" s="18">
        <v>45642</v>
      </c>
      <c r="I250" s="17">
        <f>IF(G250="Paid",D250,IF(OR(G250="Pending",G250="Overdue"),E250,"Invalid Status"))</f>
        <v>45642</v>
      </c>
    </row>
    <row r="251" spans="1:9">
      <c r="A251" s="6" t="s">
        <v>299</v>
      </c>
      <c r="B251" s="13" t="str">
        <f t="shared" si="3"/>
        <v>ORD81830</v>
      </c>
      <c r="C251" s="12" t="s">
        <v>41</v>
      </c>
      <c r="D251" s="14">
        <v>45563</v>
      </c>
      <c r="E251" s="19">
        <v>45312</v>
      </c>
      <c r="F251" s="6">
        <v>32951.730000000003</v>
      </c>
      <c r="G251" s="6" t="s">
        <v>47</v>
      </c>
      <c r="H251" s="18">
        <v>45312</v>
      </c>
      <c r="I251" s="17">
        <f>IF(G251="Paid",D251,IF(OR(G251="Pending",G251="Overdue"),E251,"Invalid Status"))</f>
        <v>45312</v>
      </c>
    </row>
    <row r="252" spans="1:9">
      <c r="E252" s="19"/>
    </row>
  </sheetData>
  <conditionalFormatting sqref="B1:B1048576">
    <cfRule type="duplicateValues" dxfId="13" priority="10"/>
  </conditionalFormatting>
  <conditionalFormatting sqref="D1:D1048576">
    <cfRule type="duplicateValues" dxfId="12" priority="8"/>
  </conditionalFormatting>
  <conditionalFormatting sqref="E253:E1048576">
    <cfRule type="duplicateValues" dxfId="11" priority="7"/>
  </conditionalFormatting>
  <conditionalFormatting sqref="F1:F1048576">
    <cfRule type="duplicateValues" dxfId="10" priority="6"/>
  </conditionalFormatting>
  <conditionalFormatting sqref="A1:A1048576">
    <cfRule type="duplicateValues" dxfId="9" priority="4"/>
  </conditionalFormatting>
  <conditionalFormatting sqref="E6">
    <cfRule type="duplicateValues" dxfId="8" priority="3"/>
  </conditionalFormatting>
  <conditionalFormatting sqref="E9">
    <cfRule type="duplicateValues" dxfId="7" priority="2"/>
  </conditionalFormatting>
  <conditionalFormatting sqref="E10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8764-7919-453B-AE0B-7FCF79A3CDDC}">
  <dimension ref="A1:Q251"/>
  <sheetViews>
    <sheetView workbookViewId="0">
      <selection activeCell="F1" sqref="F1:F1048576"/>
    </sheetView>
  </sheetViews>
  <sheetFormatPr defaultColWidth="29.5703125" defaultRowHeight="41.25" customHeight="1"/>
  <cols>
    <col min="2" max="2" width="29.7109375" customWidth="1"/>
    <col min="3" max="3" width="20.28515625" customWidth="1"/>
    <col min="4" max="4" width="15.5703125" customWidth="1"/>
    <col min="5" max="5" width="27.140625" bestFit="1" customWidth="1"/>
  </cols>
  <sheetData>
    <row r="1" spans="1:17" ht="41.25" customHeight="1">
      <c r="A1" s="26" t="s">
        <v>32</v>
      </c>
      <c r="B1" s="26" t="s">
        <v>33</v>
      </c>
      <c r="C1" s="26" t="s">
        <v>0</v>
      </c>
      <c r="D1" s="26" t="s">
        <v>300</v>
      </c>
      <c r="E1" s="26" t="s">
        <v>34</v>
      </c>
      <c r="F1" s="26" t="s">
        <v>35</v>
      </c>
      <c r="G1" s="26" t="s">
        <v>301</v>
      </c>
      <c r="H1" s="26" t="s">
        <v>37</v>
      </c>
      <c r="I1" s="26" t="s">
        <v>38</v>
      </c>
      <c r="J1" s="27"/>
      <c r="K1" s="27"/>
      <c r="L1" s="27"/>
      <c r="M1" s="27"/>
      <c r="N1" s="27"/>
      <c r="O1" s="27"/>
      <c r="P1" s="27"/>
      <c r="Q1" s="27"/>
    </row>
    <row r="2" spans="1:17" ht="41.25" customHeight="1">
      <c r="A2" s="29" t="s">
        <v>39</v>
      </c>
      <c r="B2" s="30" t="s">
        <v>40</v>
      </c>
      <c r="C2" s="31" t="s">
        <v>5</v>
      </c>
      <c r="D2" s="32">
        <v>2</v>
      </c>
      <c r="E2" s="33" t="s">
        <v>41</v>
      </c>
      <c r="F2" s="24">
        <v>45329</v>
      </c>
      <c r="G2" s="24">
        <v>45327</v>
      </c>
      <c r="H2" s="25">
        <v>84206.52</v>
      </c>
      <c r="I2" s="25" t="s">
        <v>42</v>
      </c>
    </row>
    <row r="3" spans="1:17" ht="41.25" customHeight="1">
      <c r="A3" s="6" t="s">
        <v>43</v>
      </c>
      <c r="B3" s="13" t="str">
        <f>"ORD" &amp; TEXT(RIGHT(B2,5) +1, "00000")</f>
        <v>ORD81582</v>
      </c>
      <c r="C3" s="1" t="s">
        <v>8</v>
      </c>
      <c r="D3" s="28"/>
      <c r="E3" s="21" t="s">
        <v>44</v>
      </c>
      <c r="F3" s="22">
        <v>45558</v>
      </c>
      <c r="G3" s="22">
        <v>45568</v>
      </c>
      <c r="H3" s="23">
        <v>8779.4500000000007</v>
      </c>
      <c r="I3" s="23" t="s">
        <v>42</v>
      </c>
    </row>
    <row r="4" spans="1:17" ht="41.25" customHeight="1">
      <c r="A4" s="6" t="s">
        <v>45</v>
      </c>
      <c r="B4" s="13" t="str">
        <f t="shared" ref="B4:B67" si="0">"ORD" &amp; TEXT(RIGHT(B3,5) +1, "00000")</f>
        <v>ORD81583</v>
      </c>
      <c r="C4" s="1" t="s">
        <v>10</v>
      </c>
      <c r="D4" s="28"/>
      <c r="E4" s="21" t="s">
        <v>46</v>
      </c>
      <c r="F4" s="22">
        <v>45569</v>
      </c>
      <c r="G4" s="22">
        <v>45379</v>
      </c>
      <c r="H4" s="23">
        <v>13874.1</v>
      </c>
      <c r="I4" s="23" t="s">
        <v>47</v>
      </c>
    </row>
    <row r="5" spans="1:17" ht="41.25" customHeight="1">
      <c r="A5" s="6" t="s">
        <v>48</v>
      </c>
      <c r="B5" s="13" t="str">
        <f t="shared" si="0"/>
        <v>ORD81584</v>
      </c>
      <c r="C5" s="1" t="s">
        <v>12</v>
      </c>
      <c r="D5" s="28"/>
      <c r="E5" s="21" t="s">
        <v>49</v>
      </c>
      <c r="F5" s="22">
        <v>45564</v>
      </c>
      <c r="G5" s="22">
        <v>45484</v>
      </c>
      <c r="H5" s="23">
        <v>44551.33</v>
      </c>
      <c r="I5" s="23" t="s">
        <v>50</v>
      </c>
    </row>
    <row r="6" spans="1:17" ht="41.25" customHeight="1">
      <c r="A6" s="6" t="s">
        <v>51</v>
      </c>
      <c r="B6" s="13" t="str">
        <f t="shared" si="0"/>
        <v>ORD81585</v>
      </c>
      <c r="C6" s="1" t="s">
        <v>14</v>
      </c>
      <c r="D6" s="28"/>
      <c r="E6" s="21" t="s">
        <v>52</v>
      </c>
      <c r="F6" s="22">
        <v>45604</v>
      </c>
      <c r="G6" s="22">
        <v>45603</v>
      </c>
      <c r="H6" s="23">
        <v>48584.62</v>
      </c>
      <c r="I6" s="23" t="s">
        <v>42</v>
      </c>
    </row>
    <row r="7" spans="1:17" ht="41.25" customHeight="1">
      <c r="A7" s="6" t="s">
        <v>53</v>
      </c>
      <c r="B7" s="13" t="str">
        <f t="shared" si="0"/>
        <v>ORD81586</v>
      </c>
      <c r="C7" s="1" t="s">
        <v>16</v>
      </c>
      <c r="D7" s="28"/>
      <c r="E7" s="21" t="s">
        <v>54</v>
      </c>
      <c r="F7" s="22">
        <v>45461</v>
      </c>
      <c r="G7" s="22">
        <v>45476</v>
      </c>
      <c r="H7" s="23">
        <v>27444.76</v>
      </c>
      <c r="I7" s="23" t="s">
        <v>50</v>
      </c>
    </row>
    <row r="8" spans="1:17" ht="41.25" customHeight="1">
      <c r="A8" s="6" t="s">
        <v>55</v>
      </c>
      <c r="B8" s="13" t="str">
        <f t="shared" si="0"/>
        <v>ORD81587</v>
      </c>
      <c r="C8" s="1" t="s">
        <v>18</v>
      </c>
      <c r="D8" s="28"/>
      <c r="E8" s="21" t="s">
        <v>41</v>
      </c>
      <c r="F8" s="22">
        <v>45365</v>
      </c>
      <c r="G8" s="22">
        <v>45488</v>
      </c>
      <c r="H8" s="23">
        <v>27828.71</v>
      </c>
      <c r="I8" s="23" t="s">
        <v>50</v>
      </c>
    </row>
    <row r="9" spans="1:17" ht="41.25" customHeight="1">
      <c r="A9" s="6" t="s">
        <v>56</v>
      </c>
      <c r="B9" s="13" t="str">
        <f t="shared" si="0"/>
        <v>ORD81588</v>
      </c>
      <c r="C9" s="1" t="s">
        <v>20</v>
      </c>
      <c r="D9" s="28"/>
      <c r="E9" s="21" t="s">
        <v>44</v>
      </c>
      <c r="F9" s="22">
        <v>45568</v>
      </c>
      <c r="G9" s="22">
        <v>45488</v>
      </c>
      <c r="H9" s="23">
        <v>9322.1</v>
      </c>
      <c r="I9" s="23" t="s">
        <v>42</v>
      </c>
    </row>
    <row r="10" spans="1:17" ht="41.25" customHeight="1">
      <c r="A10" s="6" t="s">
        <v>58</v>
      </c>
      <c r="B10" s="13" t="str">
        <f t="shared" si="0"/>
        <v>ORD81589</v>
      </c>
      <c r="C10" s="1" t="s">
        <v>22</v>
      </c>
      <c r="D10" s="28"/>
      <c r="E10" s="21" t="s">
        <v>44</v>
      </c>
      <c r="F10" s="22">
        <v>45565</v>
      </c>
      <c r="G10" s="22">
        <v>45563</v>
      </c>
      <c r="H10" s="23">
        <v>6258.99</v>
      </c>
      <c r="I10" s="23" t="s">
        <v>42</v>
      </c>
    </row>
    <row r="11" spans="1:17" ht="41.25" customHeight="1">
      <c r="A11" s="6" t="s">
        <v>59</v>
      </c>
      <c r="B11" s="13" t="str">
        <f t="shared" si="0"/>
        <v>ORD81590</v>
      </c>
      <c r="C11" s="1" t="s">
        <v>24</v>
      </c>
      <c r="D11" s="28"/>
      <c r="E11" s="21" t="s">
        <v>49</v>
      </c>
      <c r="F11" s="22">
        <v>45412</v>
      </c>
      <c r="G11" s="22">
        <v>45377</v>
      </c>
      <c r="H11" s="23">
        <v>4076.09</v>
      </c>
      <c r="I11" s="23" t="s">
        <v>42</v>
      </c>
    </row>
    <row r="12" spans="1:17" ht="41.25" customHeight="1">
      <c r="A12" s="6" t="s">
        <v>60</v>
      </c>
      <c r="B12" s="13" t="str">
        <f t="shared" si="0"/>
        <v>ORD81591</v>
      </c>
      <c r="C12" s="1" t="s">
        <v>26</v>
      </c>
      <c r="D12" s="28"/>
      <c r="E12" s="21" t="s">
        <v>49</v>
      </c>
      <c r="F12" s="22">
        <v>45416</v>
      </c>
      <c r="G12" s="22">
        <v>45643</v>
      </c>
      <c r="H12" s="23">
        <v>49187.58</v>
      </c>
      <c r="I12" s="23" t="s">
        <v>47</v>
      </c>
    </row>
    <row r="13" spans="1:17" ht="41.25" customHeight="1">
      <c r="A13" s="6" t="s">
        <v>61</v>
      </c>
      <c r="B13" s="13" t="str">
        <f t="shared" si="0"/>
        <v>ORD81592</v>
      </c>
      <c r="C13" s="1" t="s">
        <v>28</v>
      </c>
      <c r="D13" s="28"/>
      <c r="E13" s="21" t="s">
        <v>44</v>
      </c>
      <c r="F13" s="22">
        <v>45436</v>
      </c>
      <c r="G13" s="22">
        <v>45332</v>
      </c>
      <c r="H13" s="23">
        <v>17859.96</v>
      </c>
      <c r="I13" s="23" t="s">
        <v>50</v>
      </c>
    </row>
    <row r="14" spans="1:17" ht="41.25" customHeight="1">
      <c r="A14" s="6" t="s">
        <v>62</v>
      </c>
      <c r="B14" s="13" t="str">
        <f t="shared" si="0"/>
        <v>ORD81593</v>
      </c>
      <c r="C14" s="1" t="s">
        <v>30</v>
      </c>
      <c r="D14" s="28"/>
      <c r="E14" s="21" t="s">
        <v>44</v>
      </c>
      <c r="F14" s="22">
        <v>45289</v>
      </c>
      <c r="G14" s="22">
        <v>45631</v>
      </c>
      <c r="H14" s="23">
        <v>23017.01</v>
      </c>
      <c r="I14" s="23" t="s">
        <v>47</v>
      </c>
    </row>
    <row r="15" spans="1:17" ht="41.25" customHeight="1">
      <c r="A15" s="6" t="s">
        <v>63</v>
      </c>
      <c r="B15" s="13" t="str">
        <f t="shared" si="0"/>
        <v>ORD81594</v>
      </c>
      <c r="C15" s="1" t="s">
        <v>12</v>
      </c>
      <c r="D15" s="28"/>
      <c r="E15" s="21" t="s">
        <v>49</v>
      </c>
      <c r="F15" s="22">
        <v>45452</v>
      </c>
      <c r="G15" s="22">
        <v>45628</v>
      </c>
      <c r="H15" s="23">
        <v>2178.27</v>
      </c>
      <c r="I15" s="23" t="s">
        <v>42</v>
      </c>
    </row>
    <row r="16" spans="1:17" ht="41.25" customHeight="1">
      <c r="A16" s="6" t="s">
        <v>64</v>
      </c>
      <c r="B16" s="13" t="str">
        <f t="shared" si="0"/>
        <v>ORD81595</v>
      </c>
      <c r="C16" s="1" t="s">
        <v>10</v>
      </c>
      <c r="D16" s="28"/>
      <c r="E16" s="21" t="s">
        <v>44</v>
      </c>
      <c r="F16" s="22">
        <v>45601</v>
      </c>
      <c r="G16" s="22">
        <v>45535</v>
      </c>
      <c r="H16" s="23">
        <v>46669.43</v>
      </c>
      <c r="I16" s="23" t="s">
        <v>50</v>
      </c>
    </row>
    <row r="17" spans="1:9" ht="41.25" customHeight="1">
      <c r="A17" s="6" t="s">
        <v>65</v>
      </c>
      <c r="B17" s="13" t="str">
        <f t="shared" si="0"/>
        <v>ORD81596</v>
      </c>
      <c r="C17" s="1" t="s">
        <v>28</v>
      </c>
      <c r="D17" s="28"/>
      <c r="E17" s="21" t="s">
        <v>41</v>
      </c>
      <c r="F17" s="22">
        <v>45539</v>
      </c>
      <c r="G17" s="22">
        <v>45364</v>
      </c>
      <c r="H17" s="23">
        <v>30460.15</v>
      </c>
      <c r="I17" s="23" t="s">
        <v>50</v>
      </c>
    </row>
    <row r="18" spans="1:9" ht="41.25" customHeight="1">
      <c r="A18" s="6" t="s">
        <v>66</v>
      </c>
      <c r="B18" s="13" t="str">
        <f t="shared" si="0"/>
        <v>ORD81597</v>
      </c>
      <c r="C18" s="1" t="s">
        <v>18</v>
      </c>
      <c r="D18" s="28"/>
      <c r="E18" s="21" t="s">
        <v>46</v>
      </c>
      <c r="F18" s="22">
        <v>45538</v>
      </c>
      <c r="G18" s="22">
        <v>45350</v>
      </c>
      <c r="H18" s="23">
        <v>35809.019999999997</v>
      </c>
      <c r="I18" s="23" t="s">
        <v>42</v>
      </c>
    </row>
    <row r="19" spans="1:9" ht="41.25" customHeight="1">
      <c r="A19" s="6" t="s">
        <v>67</v>
      </c>
      <c r="B19" s="13" t="str">
        <f t="shared" si="0"/>
        <v>ORD81598</v>
      </c>
      <c r="C19" s="1" t="s">
        <v>28</v>
      </c>
      <c r="D19" s="28"/>
      <c r="E19" s="21" t="s">
        <v>49</v>
      </c>
      <c r="F19" s="22">
        <v>45522</v>
      </c>
      <c r="G19" s="22">
        <v>45589</v>
      </c>
      <c r="H19" s="23">
        <v>22070.5</v>
      </c>
      <c r="I19" s="23" t="s">
        <v>42</v>
      </c>
    </row>
    <row r="20" spans="1:9" ht="41.25" customHeight="1">
      <c r="A20" s="6" t="s">
        <v>68</v>
      </c>
      <c r="B20" s="13" t="str">
        <f t="shared" si="0"/>
        <v>ORD81599</v>
      </c>
      <c r="C20" s="1" t="s">
        <v>18</v>
      </c>
      <c r="D20" s="28"/>
      <c r="E20" s="21" t="s">
        <v>49</v>
      </c>
      <c r="F20" s="22">
        <v>45402</v>
      </c>
      <c r="G20" s="22">
        <v>45518</v>
      </c>
      <c r="H20" s="23">
        <v>1428.63</v>
      </c>
      <c r="I20" s="23" t="s">
        <v>47</v>
      </c>
    </row>
    <row r="21" spans="1:9" ht="41.25" customHeight="1">
      <c r="A21" s="6" t="s">
        <v>69</v>
      </c>
      <c r="B21" s="13" t="str">
        <f t="shared" si="0"/>
        <v>ORD81600</v>
      </c>
      <c r="C21" s="1" t="s">
        <v>5</v>
      </c>
      <c r="D21" s="28"/>
      <c r="E21" s="21" t="s">
        <v>41</v>
      </c>
      <c r="F21" s="22">
        <v>45452</v>
      </c>
      <c r="G21" s="22">
        <v>45280</v>
      </c>
      <c r="H21" s="23">
        <v>16258.84</v>
      </c>
      <c r="I21" s="23" t="s">
        <v>42</v>
      </c>
    </row>
    <row r="22" spans="1:9" ht="41.25" customHeight="1">
      <c r="A22" s="6" t="s">
        <v>70</v>
      </c>
      <c r="B22" s="13" t="str">
        <f t="shared" si="0"/>
        <v>ORD81601</v>
      </c>
      <c r="C22" s="1" t="s">
        <v>8</v>
      </c>
      <c r="D22" s="28"/>
      <c r="E22" s="21" t="s">
        <v>44</v>
      </c>
      <c r="F22" s="22">
        <v>45505</v>
      </c>
      <c r="G22" s="22">
        <v>45494</v>
      </c>
      <c r="H22" s="23">
        <v>38843.31</v>
      </c>
      <c r="I22" s="23" t="s">
        <v>47</v>
      </c>
    </row>
    <row r="23" spans="1:9" ht="41.25" customHeight="1">
      <c r="A23" s="6" t="s">
        <v>71</v>
      </c>
      <c r="B23" s="13" t="str">
        <f t="shared" si="0"/>
        <v>ORD81602</v>
      </c>
      <c r="C23" s="1" t="s">
        <v>20</v>
      </c>
      <c r="D23" s="28"/>
      <c r="E23" s="21" t="s">
        <v>46</v>
      </c>
      <c r="F23" s="22">
        <v>45612</v>
      </c>
      <c r="G23" s="22">
        <v>45366</v>
      </c>
      <c r="H23" s="23">
        <v>39567.300000000003</v>
      </c>
      <c r="I23" s="23" t="s">
        <v>47</v>
      </c>
    </row>
    <row r="24" spans="1:9" ht="41.25" customHeight="1">
      <c r="A24" s="6" t="s">
        <v>72</v>
      </c>
      <c r="B24" s="13" t="str">
        <f t="shared" si="0"/>
        <v>ORD81603</v>
      </c>
      <c r="C24" s="1" t="s">
        <v>14</v>
      </c>
      <c r="D24" s="28"/>
      <c r="E24" s="21" t="s">
        <v>49</v>
      </c>
      <c r="F24" s="22">
        <v>45419</v>
      </c>
      <c r="G24" s="22">
        <v>45339</v>
      </c>
      <c r="H24" s="23">
        <v>27696.79</v>
      </c>
      <c r="I24" s="23" t="s">
        <v>50</v>
      </c>
    </row>
    <row r="25" spans="1:9" ht="41.25" customHeight="1">
      <c r="A25" s="6" t="s">
        <v>73</v>
      </c>
      <c r="B25" s="13" t="str">
        <f t="shared" si="0"/>
        <v>ORD81604</v>
      </c>
      <c r="C25" s="1" t="s">
        <v>8</v>
      </c>
      <c r="D25" s="28"/>
      <c r="E25" s="21" t="s">
        <v>46</v>
      </c>
      <c r="F25" s="22">
        <v>45415</v>
      </c>
      <c r="G25" s="22">
        <v>45438</v>
      </c>
      <c r="H25" s="23">
        <v>6319.2</v>
      </c>
      <c r="I25" s="23" t="s">
        <v>42</v>
      </c>
    </row>
    <row r="26" spans="1:9" ht="41.25" customHeight="1">
      <c r="A26" s="6" t="s">
        <v>74</v>
      </c>
      <c r="B26" s="13" t="str">
        <f t="shared" si="0"/>
        <v>ORD81605</v>
      </c>
      <c r="C26" s="1" t="s">
        <v>16</v>
      </c>
      <c r="D26" s="28"/>
      <c r="E26" s="21" t="s">
        <v>41</v>
      </c>
      <c r="F26" s="22">
        <v>45394</v>
      </c>
      <c r="G26" s="22">
        <v>45334</v>
      </c>
      <c r="H26" s="23">
        <v>26104.1</v>
      </c>
      <c r="I26" s="23" t="s">
        <v>47</v>
      </c>
    </row>
    <row r="27" spans="1:9" ht="41.25" customHeight="1">
      <c r="A27" s="6" t="s">
        <v>75</v>
      </c>
      <c r="B27" s="13" t="str">
        <f t="shared" si="0"/>
        <v>ORD81606</v>
      </c>
      <c r="C27" s="1" t="s">
        <v>24</v>
      </c>
      <c r="D27" s="28"/>
      <c r="E27" s="21" t="s">
        <v>49</v>
      </c>
      <c r="F27" s="22">
        <v>45356</v>
      </c>
      <c r="G27" s="22">
        <v>45371</v>
      </c>
      <c r="H27" s="23">
        <v>45605.16</v>
      </c>
      <c r="I27" s="23" t="s">
        <v>42</v>
      </c>
    </row>
    <row r="28" spans="1:9" ht="41.25" customHeight="1">
      <c r="A28" s="6" t="s">
        <v>76</v>
      </c>
      <c r="B28" s="13" t="str">
        <f t="shared" si="0"/>
        <v>ORD81607</v>
      </c>
      <c r="C28" s="1" t="s">
        <v>22</v>
      </c>
      <c r="D28" s="28"/>
      <c r="E28" s="21" t="s">
        <v>44</v>
      </c>
      <c r="F28" s="22">
        <v>45523</v>
      </c>
      <c r="G28" s="22">
        <v>45541</v>
      </c>
      <c r="H28" s="23">
        <v>24178.71</v>
      </c>
      <c r="I28" s="23" t="s">
        <v>50</v>
      </c>
    </row>
    <row r="29" spans="1:9" ht="41.25" customHeight="1">
      <c r="A29" s="6" t="s">
        <v>77</v>
      </c>
      <c r="B29" s="13" t="str">
        <f t="shared" si="0"/>
        <v>ORD81608</v>
      </c>
      <c r="C29" s="1" t="s">
        <v>22</v>
      </c>
      <c r="D29" s="28"/>
      <c r="E29" s="21" t="s">
        <v>49</v>
      </c>
      <c r="F29" s="22">
        <v>45529</v>
      </c>
      <c r="G29" s="22">
        <v>45446</v>
      </c>
      <c r="H29" s="23">
        <v>45398.68</v>
      </c>
      <c r="I29" s="23" t="s">
        <v>47</v>
      </c>
    </row>
    <row r="30" spans="1:9" ht="41.25" customHeight="1">
      <c r="A30" s="6" t="s">
        <v>78</v>
      </c>
      <c r="B30" s="13" t="str">
        <f t="shared" si="0"/>
        <v>ORD81609</v>
      </c>
      <c r="C30" s="1" t="s">
        <v>10</v>
      </c>
      <c r="D30" s="28"/>
      <c r="E30" s="21" t="s">
        <v>44</v>
      </c>
      <c r="F30" s="22">
        <v>45452</v>
      </c>
      <c r="G30" s="22">
        <v>45309</v>
      </c>
      <c r="H30" s="23">
        <v>34191.129999999997</v>
      </c>
      <c r="I30" s="23" t="s">
        <v>50</v>
      </c>
    </row>
    <row r="31" spans="1:9" ht="41.25" customHeight="1">
      <c r="A31" s="6" t="s">
        <v>79</v>
      </c>
      <c r="B31" s="13" t="str">
        <f t="shared" si="0"/>
        <v>ORD81610</v>
      </c>
      <c r="C31" s="1" t="s">
        <v>16</v>
      </c>
      <c r="D31" s="28"/>
      <c r="E31" s="21" t="s">
        <v>44</v>
      </c>
      <c r="F31" s="22">
        <v>45444</v>
      </c>
      <c r="G31" s="22">
        <v>45347</v>
      </c>
      <c r="H31" s="23">
        <v>29747.47</v>
      </c>
      <c r="I31" s="23" t="s">
        <v>50</v>
      </c>
    </row>
    <row r="32" spans="1:9" ht="41.25" customHeight="1">
      <c r="A32" s="6" t="s">
        <v>80</v>
      </c>
      <c r="B32" s="13" t="str">
        <f t="shared" si="0"/>
        <v>ORD81611</v>
      </c>
      <c r="C32" s="1" t="s">
        <v>28</v>
      </c>
      <c r="D32" s="28"/>
      <c r="E32" s="21" t="s">
        <v>46</v>
      </c>
      <c r="F32" s="22">
        <v>45643</v>
      </c>
      <c r="G32" s="22">
        <v>45436</v>
      </c>
      <c r="H32" s="23">
        <v>39409.599999999999</v>
      </c>
      <c r="I32" s="23" t="s">
        <v>50</v>
      </c>
    </row>
    <row r="33" spans="1:9" ht="41.25" customHeight="1">
      <c r="A33" s="6" t="s">
        <v>81</v>
      </c>
      <c r="B33" s="13" t="str">
        <f t="shared" si="0"/>
        <v>ORD81612</v>
      </c>
      <c r="C33" s="1" t="s">
        <v>16</v>
      </c>
      <c r="D33" s="28"/>
      <c r="E33" s="21" t="s">
        <v>41</v>
      </c>
      <c r="F33" s="22">
        <v>45537</v>
      </c>
      <c r="G33" s="22">
        <v>45561</v>
      </c>
      <c r="H33" s="23">
        <v>8071.47</v>
      </c>
      <c r="I33" s="23" t="s">
        <v>50</v>
      </c>
    </row>
    <row r="34" spans="1:9" ht="41.25" customHeight="1">
      <c r="A34" s="6" t="s">
        <v>82</v>
      </c>
      <c r="B34" s="13" t="str">
        <f t="shared" si="0"/>
        <v>ORD81613</v>
      </c>
      <c r="C34" s="1" t="s">
        <v>14</v>
      </c>
      <c r="D34" s="28"/>
      <c r="E34" s="21" t="s">
        <v>46</v>
      </c>
      <c r="F34" s="22">
        <v>45517</v>
      </c>
      <c r="G34" s="22">
        <v>45340</v>
      </c>
      <c r="H34" s="23">
        <v>21138.1</v>
      </c>
      <c r="I34" s="23" t="s">
        <v>42</v>
      </c>
    </row>
    <row r="35" spans="1:9" ht="41.25" customHeight="1">
      <c r="A35" s="6" t="s">
        <v>83</v>
      </c>
      <c r="B35" s="13" t="str">
        <f t="shared" si="0"/>
        <v>ORD81614</v>
      </c>
      <c r="C35" s="1" t="s">
        <v>22</v>
      </c>
      <c r="D35" s="28"/>
      <c r="E35" s="21" t="s">
        <v>41</v>
      </c>
      <c r="F35" s="22">
        <v>45322</v>
      </c>
      <c r="G35" s="22">
        <v>45306</v>
      </c>
      <c r="H35" s="23">
        <v>28521.72</v>
      </c>
      <c r="I35" s="23" t="s">
        <v>42</v>
      </c>
    </row>
    <row r="36" spans="1:9" ht="41.25" customHeight="1">
      <c r="A36" s="6" t="s">
        <v>84</v>
      </c>
      <c r="B36" s="13" t="str">
        <f t="shared" si="0"/>
        <v>ORD81615</v>
      </c>
      <c r="C36" s="1" t="s">
        <v>14</v>
      </c>
      <c r="D36" s="28"/>
      <c r="E36" s="21" t="s">
        <v>49</v>
      </c>
      <c r="F36" s="22">
        <v>45326</v>
      </c>
      <c r="G36" s="22">
        <v>45445</v>
      </c>
      <c r="H36" s="23">
        <v>31761.46</v>
      </c>
      <c r="I36" s="23" t="s">
        <v>47</v>
      </c>
    </row>
    <row r="37" spans="1:9" ht="41.25" customHeight="1">
      <c r="A37" s="6" t="s">
        <v>85</v>
      </c>
      <c r="B37" s="13" t="str">
        <f t="shared" si="0"/>
        <v>ORD81616</v>
      </c>
      <c r="C37" s="1" t="s">
        <v>28</v>
      </c>
      <c r="D37" s="28"/>
      <c r="E37" s="21" t="s">
        <v>44</v>
      </c>
      <c r="F37" s="22">
        <v>45464</v>
      </c>
      <c r="G37" s="22">
        <v>45405</v>
      </c>
      <c r="H37" s="23">
        <v>4736.84</v>
      </c>
      <c r="I37" s="23" t="s">
        <v>50</v>
      </c>
    </row>
    <row r="38" spans="1:9" ht="41.25" customHeight="1">
      <c r="A38" s="6" t="s">
        <v>86</v>
      </c>
      <c r="B38" s="13" t="str">
        <f t="shared" si="0"/>
        <v>ORD81617</v>
      </c>
      <c r="C38" s="1" t="s">
        <v>18</v>
      </c>
      <c r="D38" s="28"/>
      <c r="E38" s="21" t="s">
        <v>41</v>
      </c>
      <c r="F38" s="22">
        <v>45306</v>
      </c>
      <c r="G38" s="22">
        <v>45362</v>
      </c>
      <c r="H38" s="23">
        <v>43517.04</v>
      </c>
      <c r="I38" s="23" t="s">
        <v>42</v>
      </c>
    </row>
    <row r="39" spans="1:9" ht="41.25" customHeight="1">
      <c r="A39" s="6" t="s">
        <v>87</v>
      </c>
      <c r="B39" s="13" t="str">
        <f t="shared" si="0"/>
        <v>ORD81618</v>
      </c>
      <c r="C39" s="1" t="s">
        <v>28</v>
      </c>
      <c r="D39" s="28"/>
      <c r="E39" s="21" t="s">
        <v>49</v>
      </c>
      <c r="F39" s="22">
        <v>45516</v>
      </c>
      <c r="G39" s="22">
        <v>45348</v>
      </c>
      <c r="H39" s="23">
        <v>26125.69</v>
      </c>
      <c r="I39" s="23" t="s">
        <v>47</v>
      </c>
    </row>
    <row r="40" spans="1:9" ht="41.25" customHeight="1">
      <c r="A40" s="6" t="s">
        <v>88</v>
      </c>
      <c r="B40" s="13" t="str">
        <f t="shared" si="0"/>
        <v>ORD81619</v>
      </c>
      <c r="C40" s="1" t="s">
        <v>28</v>
      </c>
      <c r="D40" s="28"/>
      <c r="E40" s="21" t="s">
        <v>41</v>
      </c>
      <c r="F40" s="22">
        <v>45534</v>
      </c>
      <c r="G40" s="22">
        <v>45525</v>
      </c>
      <c r="H40" s="23">
        <v>23345.97</v>
      </c>
      <c r="I40" s="23" t="s">
        <v>47</v>
      </c>
    </row>
    <row r="41" spans="1:9" ht="41.25" customHeight="1">
      <c r="A41" s="6" t="s">
        <v>89</v>
      </c>
      <c r="B41" s="13" t="str">
        <f t="shared" si="0"/>
        <v>ORD81620</v>
      </c>
      <c r="C41" s="1" t="s">
        <v>12</v>
      </c>
      <c r="D41" s="28"/>
      <c r="E41" s="21" t="s">
        <v>49</v>
      </c>
      <c r="F41" s="22">
        <v>45326</v>
      </c>
      <c r="G41" s="22">
        <v>45296</v>
      </c>
      <c r="H41" s="23">
        <v>10792.73</v>
      </c>
      <c r="I41" s="23" t="s">
        <v>47</v>
      </c>
    </row>
    <row r="42" spans="1:9" ht="41.25" customHeight="1">
      <c r="A42" s="6" t="s">
        <v>90</v>
      </c>
      <c r="B42" s="13" t="str">
        <f t="shared" si="0"/>
        <v>ORD81621</v>
      </c>
      <c r="C42" s="1" t="s">
        <v>10</v>
      </c>
      <c r="D42" s="28"/>
      <c r="E42" s="21" t="s">
        <v>44</v>
      </c>
      <c r="F42" s="22">
        <v>45619</v>
      </c>
      <c r="G42" s="22">
        <v>45538</v>
      </c>
      <c r="H42" s="23">
        <v>45168.65</v>
      </c>
      <c r="I42" s="23" t="s">
        <v>42</v>
      </c>
    </row>
    <row r="43" spans="1:9" ht="41.25" customHeight="1">
      <c r="A43" s="6" t="s">
        <v>91</v>
      </c>
      <c r="B43" s="13" t="str">
        <f t="shared" si="0"/>
        <v>ORD81622</v>
      </c>
      <c r="C43" s="1" t="s">
        <v>18</v>
      </c>
      <c r="D43" s="28"/>
      <c r="E43" s="21" t="s">
        <v>44</v>
      </c>
      <c r="F43" s="22">
        <v>45415</v>
      </c>
      <c r="G43" s="22">
        <v>45551</v>
      </c>
      <c r="H43" s="23">
        <v>47728.14</v>
      </c>
      <c r="I43" s="23" t="s">
        <v>47</v>
      </c>
    </row>
    <row r="44" spans="1:9" ht="41.25" customHeight="1">
      <c r="A44" s="6" t="s">
        <v>92</v>
      </c>
      <c r="B44" s="13" t="str">
        <f t="shared" si="0"/>
        <v>ORD81623</v>
      </c>
      <c r="C44" s="1" t="s">
        <v>8</v>
      </c>
      <c r="D44" s="28"/>
      <c r="E44" s="21" t="s">
        <v>41</v>
      </c>
      <c r="F44" s="22">
        <v>45474</v>
      </c>
      <c r="G44" s="22">
        <v>45411</v>
      </c>
      <c r="H44" s="23">
        <v>22444.48</v>
      </c>
      <c r="I44" s="23" t="s">
        <v>42</v>
      </c>
    </row>
    <row r="45" spans="1:9" ht="41.25" customHeight="1">
      <c r="A45" s="6" t="s">
        <v>93</v>
      </c>
      <c r="B45" s="13" t="str">
        <f t="shared" si="0"/>
        <v>ORD81624</v>
      </c>
      <c r="C45" s="1" t="s">
        <v>14</v>
      </c>
      <c r="D45" s="28"/>
      <c r="E45" s="21" t="s">
        <v>44</v>
      </c>
      <c r="F45" s="22">
        <v>45606</v>
      </c>
      <c r="G45" s="22">
        <v>45622</v>
      </c>
      <c r="H45" s="23">
        <v>42635.25</v>
      </c>
      <c r="I45" s="23" t="s">
        <v>42</v>
      </c>
    </row>
    <row r="46" spans="1:9" ht="41.25" customHeight="1">
      <c r="A46" s="6" t="s">
        <v>94</v>
      </c>
      <c r="B46" s="13" t="str">
        <f t="shared" si="0"/>
        <v>ORD81625</v>
      </c>
      <c r="C46" s="1" t="s">
        <v>20</v>
      </c>
      <c r="D46" s="28"/>
      <c r="E46" s="21" t="s">
        <v>49</v>
      </c>
      <c r="F46" s="22">
        <v>45364</v>
      </c>
      <c r="G46" s="22">
        <v>45500</v>
      </c>
      <c r="H46" s="23">
        <v>40312.129999999997</v>
      </c>
      <c r="I46" s="23" t="s">
        <v>50</v>
      </c>
    </row>
    <row r="47" spans="1:9" ht="41.25" customHeight="1">
      <c r="A47" s="6" t="s">
        <v>95</v>
      </c>
      <c r="B47" s="13" t="str">
        <f t="shared" si="0"/>
        <v>ORD81626</v>
      </c>
      <c r="C47" s="1" t="s">
        <v>26</v>
      </c>
      <c r="D47" s="28"/>
      <c r="E47" s="21" t="s">
        <v>46</v>
      </c>
      <c r="F47" s="22">
        <v>45424</v>
      </c>
      <c r="G47" s="22">
        <v>45468</v>
      </c>
      <c r="H47" s="23">
        <v>9150.57</v>
      </c>
      <c r="I47" s="23" t="s">
        <v>50</v>
      </c>
    </row>
    <row r="48" spans="1:9" ht="41.25" customHeight="1">
      <c r="A48" s="6" t="s">
        <v>96</v>
      </c>
      <c r="B48" s="13" t="str">
        <f t="shared" si="0"/>
        <v>ORD81627</v>
      </c>
      <c r="C48" s="1" t="s">
        <v>10</v>
      </c>
      <c r="D48" s="28"/>
      <c r="E48" s="21" t="s">
        <v>41</v>
      </c>
      <c r="F48" s="22">
        <v>45633</v>
      </c>
      <c r="G48" s="22">
        <v>45601</v>
      </c>
      <c r="H48" s="23">
        <v>25821.200000000001</v>
      </c>
      <c r="I48" s="23" t="s">
        <v>42</v>
      </c>
    </row>
    <row r="49" spans="1:9" ht="41.25" customHeight="1">
      <c r="A49" s="6" t="s">
        <v>97</v>
      </c>
      <c r="B49" s="13" t="str">
        <f t="shared" si="0"/>
        <v>ORD81628</v>
      </c>
      <c r="C49" s="1" t="s">
        <v>10</v>
      </c>
      <c r="D49" s="28"/>
      <c r="E49" s="21" t="s">
        <v>46</v>
      </c>
      <c r="F49" s="22">
        <v>45385</v>
      </c>
      <c r="G49" s="22">
        <v>45517</v>
      </c>
      <c r="H49" s="23">
        <v>26237.52</v>
      </c>
      <c r="I49" s="23" t="s">
        <v>42</v>
      </c>
    </row>
    <row r="50" spans="1:9" ht="41.25" customHeight="1">
      <c r="A50" s="6" t="s">
        <v>98</v>
      </c>
      <c r="B50" s="13" t="str">
        <f t="shared" si="0"/>
        <v>ORD81629</v>
      </c>
      <c r="C50" s="1" t="s">
        <v>16</v>
      </c>
      <c r="D50" s="28"/>
      <c r="E50" s="21" t="s">
        <v>46</v>
      </c>
      <c r="F50" s="22">
        <v>45345</v>
      </c>
      <c r="G50" s="22">
        <v>45575</v>
      </c>
      <c r="H50" s="23">
        <v>7626.15</v>
      </c>
      <c r="I50" s="23" t="s">
        <v>50</v>
      </c>
    </row>
    <row r="51" spans="1:9" ht="41.25" customHeight="1">
      <c r="A51" s="6" t="s">
        <v>99</v>
      </c>
      <c r="B51" s="13" t="str">
        <f t="shared" si="0"/>
        <v>ORD81630</v>
      </c>
      <c r="C51" s="1" t="s">
        <v>20</v>
      </c>
      <c r="D51" s="28"/>
      <c r="E51" s="21" t="s">
        <v>46</v>
      </c>
      <c r="F51" s="22">
        <v>45405</v>
      </c>
      <c r="G51" s="22">
        <v>45624</v>
      </c>
      <c r="H51" s="23">
        <v>41292.01</v>
      </c>
      <c r="I51" s="23" t="s">
        <v>42</v>
      </c>
    </row>
    <row r="52" spans="1:9" ht="41.25" customHeight="1">
      <c r="A52" s="6" t="s">
        <v>100</v>
      </c>
      <c r="B52" s="13" t="str">
        <f t="shared" si="0"/>
        <v>ORD81631</v>
      </c>
      <c r="C52" s="1" t="s">
        <v>5</v>
      </c>
      <c r="D52" s="28"/>
      <c r="E52" s="21" t="s">
        <v>41</v>
      </c>
      <c r="F52" s="22">
        <v>45496</v>
      </c>
      <c r="G52" s="22">
        <v>45383</v>
      </c>
      <c r="H52" s="23">
        <v>42522.29</v>
      </c>
      <c r="I52" s="23" t="s">
        <v>50</v>
      </c>
    </row>
    <row r="53" spans="1:9" ht="41.25" customHeight="1">
      <c r="A53" s="6" t="s">
        <v>101</v>
      </c>
      <c r="B53" s="13" t="str">
        <f t="shared" si="0"/>
        <v>ORD81632</v>
      </c>
      <c r="C53" s="1" t="s">
        <v>28</v>
      </c>
      <c r="D53" s="28">
        <v>5</v>
      </c>
      <c r="E53" s="21" t="s">
        <v>41</v>
      </c>
      <c r="F53" s="22">
        <v>45429</v>
      </c>
      <c r="G53" s="22">
        <v>45334</v>
      </c>
      <c r="H53" s="23">
        <v>36914.89</v>
      </c>
      <c r="I53" s="23" t="s">
        <v>47</v>
      </c>
    </row>
    <row r="54" spans="1:9" ht="41.25" customHeight="1">
      <c r="A54" s="6" t="s">
        <v>102</v>
      </c>
      <c r="B54" s="13" t="str">
        <f>"ORD" &amp; TEXT(RIGHT(B53,5) +1, "00000")</f>
        <v>ORD81633</v>
      </c>
      <c r="C54" s="1" t="s">
        <v>8</v>
      </c>
      <c r="D54" s="28"/>
      <c r="E54" s="21" t="s">
        <v>49</v>
      </c>
      <c r="F54" s="22">
        <v>45601</v>
      </c>
      <c r="G54" s="22">
        <v>45623</v>
      </c>
      <c r="H54" s="23">
        <v>11011.58</v>
      </c>
      <c r="I54" s="23" t="s">
        <v>50</v>
      </c>
    </row>
    <row r="55" spans="1:9" ht="41.25" customHeight="1">
      <c r="A55" s="6" t="s">
        <v>103</v>
      </c>
      <c r="B55" s="13" t="str">
        <f t="shared" si="0"/>
        <v>ORD81634</v>
      </c>
      <c r="C55" s="1" t="s">
        <v>5</v>
      </c>
      <c r="D55" s="28"/>
      <c r="E55" s="21" t="s">
        <v>44</v>
      </c>
      <c r="F55" s="22">
        <v>45486</v>
      </c>
      <c r="G55" s="22">
        <v>45515</v>
      </c>
      <c r="H55" s="23">
        <v>30898.13</v>
      </c>
      <c r="I55" s="23" t="s">
        <v>50</v>
      </c>
    </row>
    <row r="56" spans="1:9" ht="41.25" customHeight="1">
      <c r="A56" s="6" t="s">
        <v>104</v>
      </c>
      <c r="B56" s="13" t="str">
        <f t="shared" si="0"/>
        <v>ORD81635</v>
      </c>
      <c r="C56" s="1" t="s">
        <v>14</v>
      </c>
      <c r="D56" s="28"/>
      <c r="E56" s="21" t="s">
        <v>41</v>
      </c>
      <c r="F56" s="22">
        <v>45330</v>
      </c>
      <c r="G56" s="22">
        <v>45618</v>
      </c>
      <c r="H56" s="23">
        <v>4017.93</v>
      </c>
      <c r="I56" s="23" t="s">
        <v>47</v>
      </c>
    </row>
    <row r="57" spans="1:9" ht="41.25" customHeight="1">
      <c r="A57" s="6" t="s">
        <v>105</v>
      </c>
      <c r="B57" s="13" t="str">
        <f t="shared" si="0"/>
        <v>ORD81636</v>
      </c>
      <c r="C57" s="1" t="s">
        <v>24</v>
      </c>
      <c r="D57" s="28"/>
      <c r="E57" s="21" t="s">
        <v>49</v>
      </c>
      <c r="F57" s="22">
        <v>45288</v>
      </c>
      <c r="G57" s="22">
        <v>45311</v>
      </c>
      <c r="H57" s="23">
        <v>27805.1</v>
      </c>
      <c r="I57" s="23" t="s">
        <v>47</v>
      </c>
    </row>
    <row r="58" spans="1:9" ht="41.25" customHeight="1">
      <c r="A58" s="6" t="s">
        <v>106</v>
      </c>
      <c r="B58" s="13" t="str">
        <f t="shared" si="0"/>
        <v>ORD81637</v>
      </c>
      <c r="C58" s="1" t="s">
        <v>24</v>
      </c>
      <c r="D58" s="28"/>
      <c r="E58" s="21" t="s">
        <v>41</v>
      </c>
      <c r="F58" s="22">
        <v>45585</v>
      </c>
      <c r="G58" s="22">
        <v>45379</v>
      </c>
      <c r="H58" s="23">
        <v>31121.94</v>
      </c>
      <c r="I58" s="23" t="s">
        <v>42</v>
      </c>
    </row>
    <row r="59" spans="1:9" ht="41.25" customHeight="1">
      <c r="A59" s="6" t="s">
        <v>107</v>
      </c>
      <c r="B59" s="13" t="str">
        <f t="shared" si="0"/>
        <v>ORD81638</v>
      </c>
      <c r="C59" s="1" t="s">
        <v>16</v>
      </c>
      <c r="D59" s="28"/>
      <c r="E59" s="21" t="s">
        <v>46</v>
      </c>
      <c r="F59" s="22">
        <v>45478</v>
      </c>
      <c r="G59" s="22">
        <v>45583</v>
      </c>
      <c r="H59" s="23">
        <v>34111.86</v>
      </c>
      <c r="I59" s="23" t="s">
        <v>50</v>
      </c>
    </row>
    <row r="60" spans="1:9" ht="41.25" customHeight="1">
      <c r="A60" s="6" t="s">
        <v>108</v>
      </c>
      <c r="B60" s="13" t="str">
        <f t="shared" si="0"/>
        <v>ORD81639</v>
      </c>
      <c r="C60" s="1" t="s">
        <v>24</v>
      </c>
      <c r="D60" s="28"/>
      <c r="E60" s="21" t="s">
        <v>41</v>
      </c>
      <c r="F60" s="22">
        <v>45331</v>
      </c>
      <c r="G60" s="22">
        <v>45279</v>
      </c>
      <c r="H60" s="23">
        <v>47058.86</v>
      </c>
      <c r="I60" s="23" t="s">
        <v>42</v>
      </c>
    </row>
    <row r="61" spans="1:9" ht="41.25" customHeight="1">
      <c r="A61" s="6" t="s">
        <v>109</v>
      </c>
      <c r="B61" s="13" t="str">
        <f t="shared" si="0"/>
        <v>ORD81640</v>
      </c>
      <c r="C61" s="1" t="s">
        <v>12</v>
      </c>
      <c r="D61" s="28"/>
      <c r="E61" s="21" t="s">
        <v>49</v>
      </c>
      <c r="F61" s="22">
        <v>45492</v>
      </c>
      <c r="G61" s="22">
        <v>45394</v>
      </c>
      <c r="H61" s="23">
        <v>35930.660000000003</v>
      </c>
      <c r="I61" s="23" t="s">
        <v>47</v>
      </c>
    </row>
    <row r="62" spans="1:9" ht="41.25" customHeight="1">
      <c r="A62" s="6" t="s">
        <v>110</v>
      </c>
      <c r="B62" s="13" t="str">
        <f t="shared" si="0"/>
        <v>ORD81641</v>
      </c>
      <c r="C62" s="1" t="s">
        <v>14</v>
      </c>
      <c r="D62" s="28"/>
      <c r="E62" s="21" t="s">
        <v>46</v>
      </c>
      <c r="F62" s="22">
        <v>45481</v>
      </c>
      <c r="G62" s="22">
        <v>45456</v>
      </c>
      <c r="H62" s="23">
        <v>14675.93</v>
      </c>
      <c r="I62" s="23" t="s">
        <v>47</v>
      </c>
    </row>
    <row r="63" spans="1:9" ht="41.25" customHeight="1">
      <c r="A63" s="6" t="s">
        <v>111</v>
      </c>
      <c r="B63" s="13" t="str">
        <f t="shared" si="0"/>
        <v>ORD81642</v>
      </c>
      <c r="C63" s="1" t="s">
        <v>18</v>
      </c>
      <c r="D63" s="28"/>
      <c r="E63" s="21" t="s">
        <v>41</v>
      </c>
      <c r="F63" s="22">
        <v>45572</v>
      </c>
      <c r="G63" s="22">
        <v>45413</v>
      </c>
      <c r="H63" s="23">
        <v>49822.52</v>
      </c>
      <c r="I63" s="23" t="s">
        <v>50</v>
      </c>
    </row>
    <row r="64" spans="1:9" ht="41.25" customHeight="1">
      <c r="A64" s="6" t="s">
        <v>112</v>
      </c>
      <c r="B64" s="13" t="str">
        <f t="shared" si="0"/>
        <v>ORD81643</v>
      </c>
      <c r="C64" s="1" t="s">
        <v>10</v>
      </c>
      <c r="D64" s="28"/>
      <c r="E64" s="21" t="s">
        <v>41</v>
      </c>
      <c r="F64" s="22">
        <v>45434</v>
      </c>
      <c r="G64" s="22">
        <v>45512</v>
      </c>
      <c r="H64" s="23">
        <v>45881.440000000002</v>
      </c>
      <c r="I64" s="23" t="s">
        <v>47</v>
      </c>
    </row>
    <row r="65" spans="1:9" ht="41.25" customHeight="1">
      <c r="A65" s="6" t="s">
        <v>113</v>
      </c>
      <c r="B65" s="13" t="str">
        <f t="shared" si="0"/>
        <v>ORD81644</v>
      </c>
      <c r="C65" s="1" t="s">
        <v>26</v>
      </c>
      <c r="D65" s="28"/>
      <c r="E65" s="21" t="s">
        <v>41</v>
      </c>
      <c r="F65" s="22">
        <v>45609</v>
      </c>
      <c r="G65" s="22">
        <v>45438</v>
      </c>
      <c r="H65" s="23">
        <v>38103.25</v>
      </c>
      <c r="I65" s="23" t="s">
        <v>50</v>
      </c>
    </row>
    <row r="66" spans="1:9" ht="41.25" customHeight="1">
      <c r="A66" s="6" t="s">
        <v>114</v>
      </c>
      <c r="B66" s="13" t="str">
        <f t="shared" si="0"/>
        <v>ORD81645</v>
      </c>
      <c r="C66" s="1" t="s">
        <v>10</v>
      </c>
      <c r="D66" s="28"/>
      <c r="E66" s="21" t="s">
        <v>41</v>
      </c>
      <c r="F66" s="22">
        <v>45388</v>
      </c>
      <c r="G66" s="22">
        <v>45287</v>
      </c>
      <c r="H66" s="23">
        <v>49207.46</v>
      </c>
      <c r="I66" s="23" t="s">
        <v>47</v>
      </c>
    </row>
    <row r="67" spans="1:9" ht="41.25" customHeight="1">
      <c r="A67" s="6" t="s">
        <v>115</v>
      </c>
      <c r="B67" s="13" t="str">
        <f t="shared" si="0"/>
        <v>ORD81646</v>
      </c>
      <c r="C67" s="1" t="s">
        <v>16</v>
      </c>
      <c r="D67" s="28"/>
      <c r="E67" s="21" t="s">
        <v>49</v>
      </c>
      <c r="F67" s="22">
        <v>45559</v>
      </c>
      <c r="G67" s="22">
        <v>45290</v>
      </c>
      <c r="H67" s="23">
        <v>32098.09</v>
      </c>
      <c r="I67" s="23" t="s">
        <v>42</v>
      </c>
    </row>
    <row r="68" spans="1:9" ht="41.25" customHeight="1">
      <c r="A68" s="6" t="s">
        <v>116</v>
      </c>
      <c r="B68" s="13" t="str">
        <f t="shared" ref="B68:B131" si="1">"ORD" &amp; TEXT(RIGHT(B67,5) +1, "00000")</f>
        <v>ORD81647</v>
      </c>
      <c r="C68" s="1" t="s">
        <v>28</v>
      </c>
      <c r="D68" s="28"/>
      <c r="E68" s="21" t="s">
        <v>44</v>
      </c>
      <c r="F68" s="22">
        <v>45526</v>
      </c>
      <c r="G68" s="22">
        <v>45391</v>
      </c>
      <c r="H68" s="23">
        <v>23543.42</v>
      </c>
      <c r="I68" s="23" t="s">
        <v>50</v>
      </c>
    </row>
    <row r="69" spans="1:9" ht="41.25" customHeight="1">
      <c r="A69" s="6" t="s">
        <v>117</v>
      </c>
      <c r="B69" s="13" t="str">
        <f t="shared" si="1"/>
        <v>ORD81648</v>
      </c>
      <c r="C69" s="1" t="s">
        <v>5</v>
      </c>
      <c r="D69" s="28"/>
      <c r="E69" s="21" t="s">
        <v>49</v>
      </c>
      <c r="F69" s="22">
        <v>45335</v>
      </c>
      <c r="G69" s="22">
        <v>45562</v>
      </c>
      <c r="H69" s="23">
        <v>47056.58</v>
      </c>
      <c r="I69" s="23" t="s">
        <v>47</v>
      </c>
    </row>
    <row r="70" spans="1:9" ht="41.25" customHeight="1">
      <c r="A70" s="6" t="s">
        <v>118</v>
      </c>
      <c r="B70" s="13" t="str">
        <f t="shared" si="1"/>
        <v>ORD81649</v>
      </c>
      <c r="C70" s="1" t="s">
        <v>10</v>
      </c>
      <c r="D70" s="28"/>
      <c r="E70" s="21" t="s">
        <v>46</v>
      </c>
      <c r="F70" s="22">
        <v>45522</v>
      </c>
      <c r="G70" s="22">
        <v>45512</v>
      </c>
      <c r="H70" s="23">
        <v>24080.25</v>
      </c>
      <c r="I70" s="23" t="s">
        <v>42</v>
      </c>
    </row>
    <row r="71" spans="1:9" ht="41.25" customHeight="1">
      <c r="A71" s="6" t="s">
        <v>119</v>
      </c>
      <c r="B71" s="13" t="str">
        <f t="shared" si="1"/>
        <v>ORD81650</v>
      </c>
      <c r="C71" s="1" t="s">
        <v>14</v>
      </c>
      <c r="D71" s="28"/>
      <c r="E71" s="21" t="s">
        <v>41</v>
      </c>
      <c r="F71" s="22">
        <v>45483</v>
      </c>
      <c r="G71" s="22">
        <v>45314</v>
      </c>
      <c r="H71" s="23">
        <v>44945.94</v>
      </c>
      <c r="I71" s="23" t="s">
        <v>42</v>
      </c>
    </row>
    <row r="72" spans="1:9" ht="41.25" customHeight="1">
      <c r="A72" s="6" t="s">
        <v>120</v>
      </c>
      <c r="B72" s="13" t="str">
        <f t="shared" si="1"/>
        <v>ORD81651</v>
      </c>
      <c r="C72" s="1" t="s">
        <v>22</v>
      </c>
      <c r="D72" s="28"/>
      <c r="E72" s="21" t="s">
        <v>44</v>
      </c>
      <c r="F72" s="22">
        <v>45400</v>
      </c>
      <c r="G72" s="22">
        <v>45616</v>
      </c>
      <c r="H72" s="23">
        <v>37603.14</v>
      </c>
      <c r="I72" s="23" t="s">
        <v>50</v>
      </c>
    </row>
    <row r="73" spans="1:9" ht="41.25" customHeight="1">
      <c r="A73" s="6" t="s">
        <v>121</v>
      </c>
      <c r="B73" s="13" t="str">
        <f t="shared" si="1"/>
        <v>ORD81652</v>
      </c>
      <c r="C73" s="1" t="s">
        <v>18</v>
      </c>
      <c r="D73" s="28"/>
      <c r="E73" s="21" t="s">
        <v>46</v>
      </c>
      <c r="F73" s="22">
        <v>45303</v>
      </c>
      <c r="G73" s="22">
        <v>45606</v>
      </c>
      <c r="H73" s="23">
        <v>30192.29</v>
      </c>
      <c r="I73" s="23" t="s">
        <v>50</v>
      </c>
    </row>
    <row r="74" spans="1:9" ht="41.25" customHeight="1">
      <c r="A74" s="6" t="s">
        <v>122</v>
      </c>
      <c r="B74" s="13" t="str">
        <f t="shared" si="1"/>
        <v>ORD81653</v>
      </c>
      <c r="C74" s="1" t="s">
        <v>28</v>
      </c>
      <c r="D74" s="28"/>
      <c r="E74" s="21" t="s">
        <v>46</v>
      </c>
      <c r="F74" s="22">
        <v>45478</v>
      </c>
      <c r="G74" s="22">
        <v>45310</v>
      </c>
      <c r="H74" s="23">
        <v>37536.230000000003</v>
      </c>
      <c r="I74" s="23" t="s">
        <v>50</v>
      </c>
    </row>
    <row r="75" spans="1:9" ht="41.25" customHeight="1">
      <c r="A75" s="6" t="s">
        <v>123</v>
      </c>
      <c r="B75" s="13" t="str">
        <f t="shared" si="1"/>
        <v>ORD81654</v>
      </c>
      <c r="C75" s="1" t="s">
        <v>12</v>
      </c>
      <c r="D75" s="28"/>
      <c r="E75" s="21" t="s">
        <v>44</v>
      </c>
      <c r="F75" s="22">
        <v>45458</v>
      </c>
      <c r="G75" s="22">
        <v>45335</v>
      </c>
      <c r="H75" s="23">
        <v>17385.59</v>
      </c>
      <c r="I75" s="23" t="s">
        <v>47</v>
      </c>
    </row>
    <row r="76" spans="1:9" ht="41.25" customHeight="1">
      <c r="A76" s="6" t="s">
        <v>124</v>
      </c>
      <c r="B76" s="13" t="str">
        <f t="shared" si="1"/>
        <v>ORD81655</v>
      </c>
      <c r="C76" s="1" t="s">
        <v>26</v>
      </c>
      <c r="D76" s="28"/>
      <c r="E76" s="21" t="s">
        <v>46</v>
      </c>
      <c r="F76" s="22">
        <v>45429</v>
      </c>
      <c r="G76" s="22">
        <v>45497</v>
      </c>
      <c r="H76" s="23">
        <v>46645.4</v>
      </c>
      <c r="I76" s="23" t="s">
        <v>47</v>
      </c>
    </row>
    <row r="77" spans="1:9" ht="41.25" customHeight="1">
      <c r="A77" s="6" t="s">
        <v>125</v>
      </c>
      <c r="B77" s="13" t="str">
        <f t="shared" si="1"/>
        <v>ORD81656</v>
      </c>
      <c r="C77" s="1" t="s">
        <v>5</v>
      </c>
      <c r="D77" s="28"/>
      <c r="E77" s="21" t="s">
        <v>46</v>
      </c>
      <c r="F77" s="22">
        <v>45376</v>
      </c>
      <c r="G77" s="22">
        <v>45425</v>
      </c>
      <c r="H77" s="23">
        <v>45453.68</v>
      </c>
      <c r="I77" s="23" t="s">
        <v>50</v>
      </c>
    </row>
    <row r="78" spans="1:9" ht="41.25" customHeight="1">
      <c r="A78" s="6" t="s">
        <v>126</v>
      </c>
      <c r="B78" s="13" t="str">
        <f t="shared" si="1"/>
        <v>ORD81657</v>
      </c>
      <c r="C78" s="1" t="s">
        <v>12</v>
      </c>
      <c r="D78" s="28"/>
      <c r="E78" s="21" t="s">
        <v>46</v>
      </c>
      <c r="F78" s="22">
        <v>45430</v>
      </c>
      <c r="G78" s="22">
        <v>45607</v>
      </c>
      <c r="H78" s="23">
        <v>38134.699999999997</v>
      </c>
      <c r="I78" s="23" t="s">
        <v>50</v>
      </c>
    </row>
    <row r="79" spans="1:9" ht="41.25" customHeight="1">
      <c r="A79" s="6" t="s">
        <v>127</v>
      </c>
      <c r="B79" s="13" t="str">
        <f t="shared" si="1"/>
        <v>ORD81658</v>
      </c>
      <c r="C79" s="1" t="s">
        <v>8</v>
      </c>
      <c r="D79" s="28"/>
      <c r="E79" s="21" t="s">
        <v>49</v>
      </c>
      <c r="F79" s="22">
        <v>45496</v>
      </c>
      <c r="G79" s="22">
        <v>45635</v>
      </c>
      <c r="H79" s="23">
        <v>38327.51</v>
      </c>
      <c r="I79" s="23" t="s">
        <v>42</v>
      </c>
    </row>
    <row r="80" spans="1:9" ht="41.25" customHeight="1">
      <c r="A80" s="6" t="s">
        <v>128</v>
      </c>
      <c r="B80" s="13" t="str">
        <f t="shared" si="1"/>
        <v>ORD81659</v>
      </c>
      <c r="C80" s="1" t="s">
        <v>20</v>
      </c>
      <c r="D80" s="28"/>
      <c r="E80" s="21" t="s">
        <v>44</v>
      </c>
      <c r="F80" s="22">
        <v>45514</v>
      </c>
      <c r="G80" s="22">
        <v>45637</v>
      </c>
      <c r="H80" s="23">
        <v>15986.71</v>
      </c>
      <c r="I80" s="23" t="s">
        <v>42</v>
      </c>
    </row>
    <row r="81" spans="1:9" ht="41.25" customHeight="1">
      <c r="A81" s="6" t="s">
        <v>129</v>
      </c>
      <c r="B81" s="13" t="str">
        <f t="shared" si="1"/>
        <v>ORD81660</v>
      </c>
      <c r="C81" s="1" t="s">
        <v>5</v>
      </c>
      <c r="D81" s="28"/>
      <c r="E81" s="21" t="s">
        <v>41</v>
      </c>
      <c r="F81" s="22">
        <v>45401</v>
      </c>
      <c r="G81" s="22">
        <v>45517</v>
      </c>
      <c r="H81" s="23">
        <v>29960.3</v>
      </c>
      <c r="I81" s="23" t="s">
        <v>47</v>
      </c>
    </row>
    <row r="82" spans="1:9" ht="41.25" customHeight="1">
      <c r="A82" s="6" t="s">
        <v>130</v>
      </c>
      <c r="B82" s="13" t="str">
        <f t="shared" si="1"/>
        <v>ORD81661</v>
      </c>
      <c r="C82" s="1" t="s">
        <v>20</v>
      </c>
      <c r="D82" s="28"/>
      <c r="E82" s="21" t="s">
        <v>41</v>
      </c>
      <c r="F82" s="22">
        <v>45312</v>
      </c>
      <c r="G82" s="22">
        <v>45622</v>
      </c>
      <c r="H82" s="23">
        <v>27110.25</v>
      </c>
      <c r="I82" s="23" t="s">
        <v>50</v>
      </c>
    </row>
    <row r="83" spans="1:9" ht="41.25" customHeight="1">
      <c r="A83" s="6" t="s">
        <v>131</v>
      </c>
      <c r="B83" s="13" t="str">
        <f t="shared" si="1"/>
        <v>ORD81662</v>
      </c>
      <c r="C83" s="1" t="s">
        <v>5</v>
      </c>
      <c r="D83" s="28"/>
      <c r="E83" s="21" t="s">
        <v>49</v>
      </c>
      <c r="F83" s="22">
        <v>45638</v>
      </c>
      <c r="G83" s="22">
        <v>45534</v>
      </c>
      <c r="H83" s="23">
        <v>47286.55</v>
      </c>
      <c r="I83" s="23" t="s">
        <v>50</v>
      </c>
    </row>
    <row r="84" spans="1:9" ht="41.25" customHeight="1">
      <c r="A84" s="6" t="s">
        <v>132</v>
      </c>
      <c r="B84" s="13" t="str">
        <f t="shared" si="1"/>
        <v>ORD81663</v>
      </c>
      <c r="C84" s="1" t="s">
        <v>14</v>
      </c>
      <c r="D84" s="28"/>
      <c r="E84" s="21" t="s">
        <v>46</v>
      </c>
      <c r="F84" s="22">
        <v>45555</v>
      </c>
      <c r="G84" s="22">
        <v>45550</v>
      </c>
      <c r="H84" s="23">
        <v>10963.12</v>
      </c>
      <c r="I84" s="23" t="s">
        <v>50</v>
      </c>
    </row>
    <row r="85" spans="1:9" ht="41.25" customHeight="1">
      <c r="A85" s="6" t="s">
        <v>133</v>
      </c>
      <c r="B85" s="13" t="str">
        <f t="shared" si="1"/>
        <v>ORD81664</v>
      </c>
      <c r="C85" s="1" t="s">
        <v>12</v>
      </c>
      <c r="D85" s="28"/>
      <c r="E85" s="21" t="s">
        <v>41</v>
      </c>
      <c r="F85" s="22">
        <v>45480</v>
      </c>
      <c r="G85" s="22">
        <v>45622</v>
      </c>
      <c r="H85" s="23">
        <v>43210.42</v>
      </c>
      <c r="I85" s="23" t="s">
        <v>50</v>
      </c>
    </row>
    <row r="86" spans="1:9" ht="41.25" customHeight="1">
      <c r="A86" s="6" t="s">
        <v>134</v>
      </c>
      <c r="B86" s="13" t="str">
        <f t="shared" si="1"/>
        <v>ORD81665</v>
      </c>
      <c r="C86" s="1" t="s">
        <v>22</v>
      </c>
      <c r="D86" s="28"/>
      <c r="E86" s="21" t="s">
        <v>44</v>
      </c>
      <c r="F86" s="22">
        <v>45595</v>
      </c>
      <c r="G86" s="22">
        <v>45278</v>
      </c>
      <c r="H86" s="23">
        <v>33484.61</v>
      </c>
      <c r="I86" s="23" t="s">
        <v>42</v>
      </c>
    </row>
    <row r="87" spans="1:9" ht="41.25" customHeight="1">
      <c r="A87" s="6" t="s">
        <v>135</v>
      </c>
      <c r="B87" s="13" t="str">
        <f t="shared" si="1"/>
        <v>ORD81666</v>
      </c>
      <c r="C87" s="1" t="s">
        <v>16</v>
      </c>
      <c r="D87" s="28"/>
      <c r="E87" s="21" t="s">
        <v>44</v>
      </c>
      <c r="F87" s="22">
        <v>45434</v>
      </c>
      <c r="G87" s="22">
        <v>45583</v>
      </c>
      <c r="H87" s="23">
        <v>37266.31</v>
      </c>
      <c r="I87" s="23" t="s">
        <v>50</v>
      </c>
    </row>
    <row r="88" spans="1:9" ht="41.25" customHeight="1">
      <c r="A88" s="6" t="s">
        <v>136</v>
      </c>
      <c r="B88" s="13" t="str">
        <f t="shared" si="1"/>
        <v>ORD81667</v>
      </c>
      <c r="C88" s="1" t="s">
        <v>20</v>
      </c>
      <c r="D88" s="28"/>
      <c r="E88" s="21" t="s">
        <v>46</v>
      </c>
      <c r="F88" s="22">
        <v>45552</v>
      </c>
      <c r="G88" s="22">
        <v>45533</v>
      </c>
      <c r="H88" s="23">
        <v>39095.14</v>
      </c>
      <c r="I88" s="23" t="s">
        <v>47</v>
      </c>
    </row>
    <row r="89" spans="1:9" ht="41.25" customHeight="1">
      <c r="A89" s="6" t="s">
        <v>137</v>
      </c>
      <c r="B89" s="13" t="str">
        <f t="shared" si="1"/>
        <v>ORD81668</v>
      </c>
      <c r="C89" s="1" t="s">
        <v>18</v>
      </c>
      <c r="D89" s="28"/>
      <c r="E89" s="21" t="s">
        <v>44</v>
      </c>
      <c r="F89" s="22">
        <v>45501</v>
      </c>
      <c r="G89" s="22">
        <v>45314</v>
      </c>
      <c r="H89" s="23">
        <v>7670.13</v>
      </c>
      <c r="I89" s="23" t="s">
        <v>47</v>
      </c>
    </row>
    <row r="90" spans="1:9" ht="41.25" customHeight="1">
      <c r="A90" s="6" t="s">
        <v>138</v>
      </c>
      <c r="B90" s="13" t="str">
        <f t="shared" si="1"/>
        <v>ORD81669</v>
      </c>
      <c r="C90" s="1" t="s">
        <v>28</v>
      </c>
      <c r="D90" s="28"/>
      <c r="E90" s="21" t="s">
        <v>44</v>
      </c>
      <c r="F90" s="22">
        <v>45537</v>
      </c>
      <c r="G90" s="22">
        <v>45596</v>
      </c>
      <c r="H90" s="23">
        <v>4477.92</v>
      </c>
      <c r="I90" s="23" t="s">
        <v>47</v>
      </c>
    </row>
    <row r="91" spans="1:9" ht="41.25" customHeight="1">
      <c r="A91" s="6" t="s">
        <v>139</v>
      </c>
      <c r="B91" s="13" t="str">
        <f t="shared" si="1"/>
        <v>ORD81670</v>
      </c>
      <c r="C91" s="1" t="s">
        <v>10</v>
      </c>
      <c r="D91" s="28"/>
      <c r="E91" s="21" t="s">
        <v>49</v>
      </c>
      <c r="F91" s="22">
        <v>45432</v>
      </c>
      <c r="G91" s="22">
        <v>45496</v>
      </c>
      <c r="H91" s="23">
        <v>10790.25</v>
      </c>
      <c r="I91" s="23" t="s">
        <v>42</v>
      </c>
    </row>
    <row r="92" spans="1:9" ht="41.25" customHeight="1">
      <c r="A92" s="6" t="s">
        <v>140</v>
      </c>
      <c r="B92" s="13" t="str">
        <f t="shared" si="1"/>
        <v>ORD81671</v>
      </c>
      <c r="C92" s="1" t="s">
        <v>16</v>
      </c>
      <c r="D92" s="28"/>
      <c r="E92" s="21" t="s">
        <v>49</v>
      </c>
      <c r="F92" s="22">
        <v>45439</v>
      </c>
      <c r="G92" s="22">
        <v>45526</v>
      </c>
      <c r="H92" s="23">
        <v>1082</v>
      </c>
      <c r="I92" s="23" t="s">
        <v>47</v>
      </c>
    </row>
    <row r="93" spans="1:9" ht="41.25" customHeight="1">
      <c r="A93" s="6" t="s">
        <v>141</v>
      </c>
      <c r="B93" s="13" t="str">
        <f t="shared" si="1"/>
        <v>ORD81672</v>
      </c>
      <c r="C93" s="1" t="s">
        <v>8</v>
      </c>
      <c r="D93" s="28"/>
      <c r="E93" s="21" t="s">
        <v>41</v>
      </c>
      <c r="F93" s="22">
        <v>45603</v>
      </c>
      <c r="G93" s="22">
        <v>45577</v>
      </c>
      <c r="H93" s="23">
        <v>11252.58</v>
      </c>
      <c r="I93" s="23" t="s">
        <v>50</v>
      </c>
    </row>
    <row r="94" spans="1:9" ht="41.25" customHeight="1">
      <c r="A94" s="6" t="s">
        <v>142</v>
      </c>
      <c r="B94" s="13" t="str">
        <f t="shared" si="1"/>
        <v>ORD81673</v>
      </c>
      <c r="C94" s="1" t="s">
        <v>28</v>
      </c>
      <c r="D94" s="28"/>
      <c r="E94" s="21" t="s">
        <v>46</v>
      </c>
      <c r="F94" s="22">
        <v>45606</v>
      </c>
      <c r="G94" s="22">
        <v>45547</v>
      </c>
      <c r="H94" s="23">
        <v>43459.29</v>
      </c>
      <c r="I94" s="23" t="s">
        <v>47</v>
      </c>
    </row>
    <row r="95" spans="1:9" ht="41.25" customHeight="1">
      <c r="A95" s="6" t="s">
        <v>143</v>
      </c>
      <c r="B95" s="13" t="str">
        <f t="shared" si="1"/>
        <v>ORD81674</v>
      </c>
      <c r="C95" s="1" t="s">
        <v>20</v>
      </c>
      <c r="D95" s="28"/>
      <c r="E95" s="21" t="s">
        <v>44</v>
      </c>
      <c r="F95" s="22">
        <v>45622</v>
      </c>
      <c r="G95" s="22">
        <v>45348</v>
      </c>
      <c r="H95" s="23">
        <v>4531.33</v>
      </c>
      <c r="I95" s="23" t="s">
        <v>47</v>
      </c>
    </row>
    <row r="96" spans="1:9" ht="41.25" customHeight="1">
      <c r="A96" s="6" t="s">
        <v>144</v>
      </c>
      <c r="B96" s="13" t="str">
        <f t="shared" si="1"/>
        <v>ORD81675</v>
      </c>
      <c r="C96" s="1" t="s">
        <v>24</v>
      </c>
      <c r="D96" s="28"/>
      <c r="E96" s="21" t="s">
        <v>49</v>
      </c>
      <c r="F96" s="22">
        <v>45329</v>
      </c>
      <c r="G96" s="22">
        <v>45429</v>
      </c>
      <c r="H96" s="23">
        <v>8885.9500000000007</v>
      </c>
      <c r="I96" s="23" t="s">
        <v>47</v>
      </c>
    </row>
    <row r="97" spans="1:9" ht="41.25" customHeight="1">
      <c r="A97" s="6" t="s">
        <v>145</v>
      </c>
      <c r="B97" s="13" t="str">
        <f t="shared" si="1"/>
        <v>ORD81676</v>
      </c>
      <c r="C97" s="1" t="s">
        <v>20</v>
      </c>
      <c r="D97" s="28"/>
      <c r="E97" s="21" t="s">
        <v>46</v>
      </c>
      <c r="F97" s="22">
        <v>45511</v>
      </c>
      <c r="G97" s="22">
        <v>45513</v>
      </c>
      <c r="H97" s="23">
        <v>31525.57</v>
      </c>
      <c r="I97" s="23" t="s">
        <v>50</v>
      </c>
    </row>
    <row r="98" spans="1:9" ht="41.25" customHeight="1">
      <c r="A98" s="6" t="s">
        <v>146</v>
      </c>
      <c r="B98" s="13" t="str">
        <f t="shared" si="1"/>
        <v>ORD81677</v>
      </c>
      <c r="C98" s="1" t="s">
        <v>26</v>
      </c>
      <c r="D98" s="28"/>
      <c r="E98" s="21" t="s">
        <v>46</v>
      </c>
      <c r="F98" s="22">
        <v>45349</v>
      </c>
      <c r="G98" s="22">
        <v>45415</v>
      </c>
      <c r="H98" s="23">
        <v>30521.58</v>
      </c>
      <c r="I98" s="23" t="s">
        <v>47</v>
      </c>
    </row>
    <row r="99" spans="1:9" ht="41.25" customHeight="1">
      <c r="A99" s="6" t="s">
        <v>147</v>
      </c>
      <c r="B99" s="13" t="str">
        <f t="shared" si="1"/>
        <v>ORD81678</v>
      </c>
      <c r="C99" s="1" t="s">
        <v>14</v>
      </c>
      <c r="D99" s="28"/>
      <c r="E99" s="21" t="s">
        <v>44</v>
      </c>
      <c r="F99" s="22">
        <v>45408</v>
      </c>
      <c r="G99" s="22">
        <v>45301</v>
      </c>
      <c r="H99" s="23">
        <v>41398.949999999997</v>
      </c>
      <c r="I99" s="23" t="s">
        <v>47</v>
      </c>
    </row>
    <row r="100" spans="1:9" ht="41.25" customHeight="1">
      <c r="A100" s="6" t="s">
        <v>148</v>
      </c>
      <c r="B100" s="13" t="str">
        <f t="shared" si="1"/>
        <v>ORD81679</v>
      </c>
      <c r="C100" s="1" t="s">
        <v>8</v>
      </c>
      <c r="D100" s="28"/>
      <c r="E100" s="21" t="s">
        <v>46</v>
      </c>
      <c r="F100" s="22">
        <v>45343</v>
      </c>
      <c r="G100" s="22">
        <v>45564</v>
      </c>
      <c r="H100" s="23">
        <v>10680.97</v>
      </c>
      <c r="I100" s="23" t="s">
        <v>50</v>
      </c>
    </row>
    <row r="101" spans="1:9" ht="41.25" customHeight="1">
      <c r="A101" s="6" t="s">
        <v>149</v>
      </c>
      <c r="B101" s="13" t="str">
        <f t="shared" si="1"/>
        <v>ORD81680</v>
      </c>
      <c r="C101" s="1" t="s">
        <v>30</v>
      </c>
      <c r="D101" s="28"/>
      <c r="E101" s="21" t="s">
        <v>44</v>
      </c>
      <c r="F101" s="22">
        <v>45517</v>
      </c>
      <c r="G101" s="22">
        <v>45526</v>
      </c>
      <c r="H101" s="23">
        <v>46690.3</v>
      </c>
      <c r="I101" s="23" t="s">
        <v>50</v>
      </c>
    </row>
    <row r="102" spans="1:9" ht="41.25" customHeight="1">
      <c r="A102" s="6" t="s">
        <v>150</v>
      </c>
      <c r="B102" s="13" t="str">
        <f t="shared" si="1"/>
        <v>ORD81681</v>
      </c>
      <c r="C102" s="1" t="s">
        <v>14</v>
      </c>
      <c r="D102" s="28"/>
      <c r="E102" s="21" t="s">
        <v>49</v>
      </c>
      <c r="F102" s="22">
        <v>45582</v>
      </c>
      <c r="G102" s="22">
        <v>45608</v>
      </c>
      <c r="H102" s="23">
        <v>42754.71</v>
      </c>
      <c r="I102" s="23" t="s">
        <v>50</v>
      </c>
    </row>
    <row r="103" spans="1:9" ht="41.25" customHeight="1">
      <c r="A103" s="6" t="s">
        <v>151</v>
      </c>
      <c r="B103" s="13" t="str">
        <f t="shared" si="1"/>
        <v>ORD81682</v>
      </c>
      <c r="C103" s="1" t="s">
        <v>12</v>
      </c>
      <c r="D103" s="28"/>
      <c r="E103" s="21" t="s">
        <v>44</v>
      </c>
      <c r="F103" s="22">
        <v>45493</v>
      </c>
      <c r="G103" s="22">
        <v>45297</v>
      </c>
      <c r="H103" s="23">
        <v>6451.16</v>
      </c>
      <c r="I103" s="23" t="s">
        <v>47</v>
      </c>
    </row>
    <row r="104" spans="1:9" ht="41.25" customHeight="1">
      <c r="A104" s="6" t="s">
        <v>152</v>
      </c>
      <c r="B104" s="13" t="str">
        <f t="shared" si="1"/>
        <v>ORD81683</v>
      </c>
      <c r="C104" s="1" t="s">
        <v>26</v>
      </c>
      <c r="D104" s="28"/>
      <c r="E104" s="21" t="s">
        <v>44</v>
      </c>
      <c r="F104" s="22">
        <v>45410</v>
      </c>
      <c r="G104" s="22">
        <v>45471</v>
      </c>
      <c r="H104" s="23">
        <v>16472.25</v>
      </c>
      <c r="I104" s="23" t="s">
        <v>47</v>
      </c>
    </row>
    <row r="105" spans="1:9" ht="41.25" customHeight="1">
      <c r="A105" s="6" t="s">
        <v>153</v>
      </c>
      <c r="B105" s="13" t="str">
        <f t="shared" si="1"/>
        <v>ORD81684</v>
      </c>
      <c r="C105" s="1" t="s">
        <v>12</v>
      </c>
      <c r="D105" s="28"/>
      <c r="E105" s="21" t="s">
        <v>44</v>
      </c>
      <c r="F105" s="22">
        <v>45288</v>
      </c>
      <c r="G105" s="22">
        <v>45283</v>
      </c>
      <c r="H105" s="23">
        <v>46438.84</v>
      </c>
      <c r="I105" s="23" t="s">
        <v>42</v>
      </c>
    </row>
    <row r="106" spans="1:9" ht="41.25" customHeight="1">
      <c r="A106" s="6" t="s">
        <v>154</v>
      </c>
      <c r="B106" s="13" t="str">
        <f t="shared" si="1"/>
        <v>ORD81685</v>
      </c>
      <c r="C106" s="1" t="s">
        <v>20</v>
      </c>
      <c r="D106" s="28"/>
      <c r="E106" s="21" t="s">
        <v>41</v>
      </c>
      <c r="F106" s="22">
        <v>45436</v>
      </c>
      <c r="G106" s="22">
        <v>45376</v>
      </c>
      <c r="H106" s="23">
        <v>11165.16</v>
      </c>
      <c r="I106" s="23" t="s">
        <v>42</v>
      </c>
    </row>
    <row r="107" spans="1:9" ht="41.25" customHeight="1">
      <c r="A107" s="6" t="s">
        <v>155</v>
      </c>
      <c r="B107" s="13" t="str">
        <f t="shared" si="1"/>
        <v>ORD81686</v>
      </c>
      <c r="C107" s="1" t="s">
        <v>26</v>
      </c>
      <c r="D107" s="28"/>
      <c r="E107" s="21" t="s">
        <v>41</v>
      </c>
      <c r="F107" s="22">
        <v>45405</v>
      </c>
      <c r="G107" s="22">
        <v>45529</v>
      </c>
      <c r="H107" s="23">
        <v>29279.07</v>
      </c>
      <c r="I107" s="23" t="s">
        <v>42</v>
      </c>
    </row>
    <row r="108" spans="1:9" ht="41.25" customHeight="1">
      <c r="A108" s="6" t="s">
        <v>156</v>
      </c>
      <c r="B108" s="13" t="str">
        <f t="shared" si="1"/>
        <v>ORD81687</v>
      </c>
      <c r="C108" s="1" t="s">
        <v>22</v>
      </c>
      <c r="D108" s="28"/>
      <c r="E108" s="21" t="s">
        <v>49</v>
      </c>
      <c r="F108" s="22">
        <v>45505</v>
      </c>
      <c r="G108" s="22">
        <v>45359</v>
      </c>
      <c r="H108" s="23">
        <v>33745.56</v>
      </c>
      <c r="I108" s="23" t="s">
        <v>50</v>
      </c>
    </row>
    <row r="109" spans="1:9" ht="41.25" customHeight="1">
      <c r="A109" s="6" t="s">
        <v>157</v>
      </c>
      <c r="B109" s="13" t="str">
        <f t="shared" si="1"/>
        <v>ORD81688</v>
      </c>
      <c r="C109" s="1" t="s">
        <v>14</v>
      </c>
      <c r="D109" s="28"/>
      <c r="E109" s="21" t="s">
        <v>41</v>
      </c>
      <c r="F109" s="22">
        <v>45574</v>
      </c>
      <c r="G109" s="22">
        <v>45643</v>
      </c>
      <c r="H109" s="23">
        <v>40640.400000000001</v>
      </c>
      <c r="I109" s="23" t="s">
        <v>42</v>
      </c>
    </row>
    <row r="110" spans="1:9" ht="41.25" customHeight="1">
      <c r="A110" s="6" t="s">
        <v>158</v>
      </c>
      <c r="B110" s="13" t="str">
        <f t="shared" si="1"/>
        <v>ORD81689</v>
      </c>
      <c r="C110" s="1" t="s">
        <v>30</v>
      </c>
      <c r="D110" s="28"/>
      <c r="E110" s="21" t="s">
        <v>44</v>
      </c>
      <c r="F110" s="22">
        <v>45303</v>
      </c>
      <c r="G110" s="22">
        <v>45488</v>
      </c>
      <c r="H110" s="23">
        <v>42985.95</v>
      </c>
      <c r="I110" s="23" t="s">
        <v>42</v>
      </c>
    </row>
    <row r="111" spans="1:9" ht="41.25" customHeight="1">
      <c r="A111" s="6" t="s">
        <v>159</v>
      </c>
      <c r="B111" s="13" t="str">
        <f t="shared" si="1"/>
        <v>ORD81690</v>
      </c>
      <c r="C111" s="1" t="s">
        <v>30</v>
      </c>
      <c r="D111" s="28"/>
      <c r="E111" s="21" t="s">
        <v>46</v>
      </c>
      <c r="F111" s="22">
        <v>45511</v>
      </c>
      <c r="G111" s="22">
        <v>45525</v>
      </c>
      <c r="H111" s="23">
        <v>21140.35</v>
      </c>
      <c r="I111" s="23" t="s">
        <v>50</v>
      </c>
    </row>
    <row r="112" spans="1:9" ht="41.25" customHeight="1">
      <c r="A112" s="6" t="s">
        <v>160</v>
      </c>
      <c r="B112" s="13" t="str">
        <f t="shared" si="1"/>
        <v>ORD81691</v>
      </c>
      <c r="C112" s="1" t="s">
        <v>28</v>
      </c>
      <c r="D112" s="28"/>
      <c r="E112" s="21" t="s">
        <v>44</v>
      </c>
      <c r="F112" s="22">
        <v>45407</v>
      </c>
      <c r="G112" s="22">
        <v>45479</v>
      </c>
      <c r="H112" s="23">
        <v>37105.800000000003</v>
      </c>
      <c r="I112" s="23" t="s">
        <v>50</v>
      </c>
    </row>
    <row r="113" spans="1:9" ht="41.25" customHeight="1">
      <c r="A113" s="6" t="s">
        <v>161</v>
      </c>
      <c r="B113" s="13" t="str">
        <f t="shared" si="1"/>
        <v>ORD81692</v>
      </c>
      <c r="C113" s="1" t="s">
        <v>18</v>
      </c>
      <c r="D113" s="28"/>
      <c r="E113" s="21" t="s">
        <v>46</v>
      </c>
      <c r="F113" s="22">
        <v>45634</v>
      </c>
      <c r="G113" s="22">
        <v>45322</v>
      </c>
      <c r="H113" s="23">
        <v>11315.08</v>
      </c>
      <c r="I113" s="23" t="s">
        <v>47</v>
      </c>
    </row>
    <row r="114" spans="1:9" ht="41.25" customHeight="1">
      <c r="A114" s="6" t="s">
        <v>162</v>
      </c>
      <c r="B114" s="13" t="str">
        <f t="shared" si="1"/>
        <v>ORD81693</v>
      </c>
      <c r="C114" s="1" t="s">
        <v>8</v>
      </c>
      <c r="D114" s="28"/>
      <c r="E114" s="21" t="s">
        <v>41</v>
      </c>
      <c r="F114" s="22">
        <v>45361</v>
      </c>
      <c r="G114" s="22">
        <v>45308</v>
      </c>
      <c r="H114" s="23">
        <v>22554.18</v>
      </c>
      <c r="I114" s="23" t="s">
        <v>47</v>
      </c>
    </row>
    <row r="115" spans="1:9" ht="41.25" customHeight="1">
      <c r="A115" s="6" t="s">
        <v>163</v>
      </c>
      <c r="B115" s="13" t="str">
        <f t="shared" si="1"/>
        <v>ORD81694</v>
      </c>
      <c r="C115" s="1" t="s">
        <v>30</v>
      </c>
      <c r="D115" s="28"/>
      <c r="E115" s="21" t="s">
        <v>41</v>
      </c>
      <c r="F115" s="22">
        <v>45535</v>
      </c>
      <c r="G115" s="22">
        <v>45366</v>
      </c>
      <c r="H115" s="23">
        <v>19030.27</v>
      </c>
      <c r="I115" s="23" t="s">
        <v>42</v>
      </c>
    </row>
    <row r="116" spans="1:9" ht="41.25" customHeight="1">
      <c r="A116" s="6" t="s">
        <v>164</v>
      </c>
      <c r="B116" s="13" t="str">
        <f t="shared" si="1"/>
        <v>ORD81695</v>
      </c>
      <c r="C116" s="1" t="s">
        <v>14</v>
      </c>
      <c r="D116" s="28"/>
      <c r="E116" s="21" t="s">
        <v>41</v>
      </c>
      <c r="F116" s="22">
        <v>45367</v>
      </c>
      <c r="G116" s="22">
        <v>45585</v>
      </c>
      <c r="H116" s="23">
        <v>1471.7</v>
      </c>
      <c r="I116" s="23" t="s">
        <v>50</v>
      </c>
    </row>
    <row r="117" spans="1:9" ht="41.25" customHeight="1">
      <c r="A117" s="6" t="s">
        <v>165</v>
      </c>
      <c r="B117" s="13" t="str">
        <f t="shared" si="1"/>
        <v>ORD81696</v>
      </c>
      <c r="C117" s="1" t="s">
        <v>28</v>
      </c>
      <c r="D117" s="28"/>
      <c r="E117" s="21" t="s">
        <v>49</v>
      </c>
      <c r="F117" s="22">
        <v>45527</v>
      </c>
      <c r="G117" s="22">
        <v>45472</v>
      </c>
      <c r="H117" s="23">
        <v>40619.949999999997</v>
      </c>
      <c r="I117" s="23" t="s">
        <v>42</v>
      </c>
    </row>
    <row r="118" spans="1:9" ht="41.25" customHeight="1">
      <c r="A118" s="6" t="s">
        <v>166</v>
      </c>
      <c r="B118" s="13" t="str">
        <f t="shared" si="1"/>
        <v>ORD81697</v>
      </c>
      <c r="C118" s="1" t="s">
        <v>26</v>
      </c>
      <c r="D118" s="28"/>
      <c r="E118" s="21" t="s">
        <v>46</v>
      </c>
      <c r="F118" s="22">
        <v>45632</v>
      </c>
      <c r="G118" s="22">
        <v>45512</v>
      </c>
      <c r="H118" s="23">
        <v>4958.1099999999997</v>
      </c>
      <c r="I118" s="23" t="s">
        <v>50</v>
      </c>
    </row>
    <row r="119" spans="1:9" ht="41.25" customHeight="1">
      <c r="A119" s="6" t="s">
        <v>167</v>
      </c>
      <c r="B119" s="13" t="str">
        <f t="shared" si="1"/>
        <v>ORD81698</v>
      </c>
      <c r="C119" s="1" t="s">
        <v>22</v>
      </c>
      <c r="D119" s="28"/>
      <c r="E119" s="21" t="s">
        <v>41</v>
      </c>
      <c r="F119" s="22">
        <v>45406</v>
      </c>
      <c r="G119" s="22">
        <v>45422</v>
      </c>
      <c r="H119" s="23">
        <v>26731.16</v>
      </c>
      <c r="I119" s="23" t="s">
        <v>47</v>
      </c>
    </row>
    <row r="120" spans="1:9" ht="41.25" customHeight="1">
      <c r="A120" s="6" t="s">
        <v>168</v>
      </c>
      <c r="B120" s="13" t="str">
        <f t="shared" si="1"/>
        <v>ORD81699</v>
      </c>
      <c r="C120" s="1" t="s">
        <v>26</v>
      </c>
      <c r="D120" s="28"/>
      <c r="E120" s="21" t="s">
        <v>46</v>
      </c>
      <c r="F120" s="22">
        <v>45436</v>
      </c>
      <c r="G120" s="22">
        <v>45330</v>
      </c>
      <c r="H120" s="23">
        <v>43310.74</v>
      </c>
      <c r="I120" s="23" t="s">
        <v>42</v>
      </c>
    </row>
    <row r="121" spans="1:9" ht="41.25" customHeight="1">
      <c r="A121" s="6" t="s">
        <v>169</v>
      </c>
      <c r="B121" s="13" t="str">
        <f t="shared" si="1"/>
        <v>ORD81700</v>
      </c>
      <c r="C121" s="1" t="s">
        <v>18</v>
      </c>
      <c r="D121" s="28"/>
      <c r="E121" s="21" t="s">
        <v>49</v>
      </c>
      <c r="F121" s="22">
        <v>45379</v>
      </c>
      <c r="G121" s="22">
        <v>45401</v>
      </c>
      <c r="H121" s="23">
        <v>45589.21</v>
      </c>
      <c r="I121" s="23" t="s">
        <v>42</v>
      </c>
    </row>
    <row r="122" spans="1:9" ht="41.25" customHeight="1">
      <c r="A122" s="6" t="s">
        <v>170</v>
      </c>
      <c r="B122" s="13" t="str">
        <f t="shared" si="1"/>
        <v>ORD81701</v>
      </c>
      <c r="C122" s="1" t="s">
        <v>18</v>
      </c>
      <c r="D122" s="28"/>
      <c r="E122" s="21" t="s">
        <v>44</v>
      </c>
      <c r="F122" s="22">
        <v>45556</v>
      </c>
      <c r="G122" s="22">
        <v>45630</v>
      </c>
      <c r="H122" s="23">
        <v>13305.37</v>
      </c>
      <c r="I122" s="23" t="s">
        <v>50</v>
      </c>
    </row>
    <row r="123" spans="1:9" ht="41.25" customHeight="1">
      <c r="A123" s="6" t="s">
        <v>171</v>
      </c>
      <c r="B123" s="13" t="str">
        <f t="shared" si="1"/>
        <v>ORD81702</v>
      </c>
      <c r="C123" s="1" t="s">
        <v>16</v>
      </c>
      <c r="D123" s="28"/>
      <c r="E123" s="21" t="s">
        <v>46</v>
      </c>
      <c r="F123" s="22">
        <v>45378</v>
      </c>
      <c r="G123" s="22">
        <v>45387</v>
      </c>
      <c r="H123" s="23">
        <v>7947.75</v>
      </c>
      <c r="I123" s="23" t="s">
        <v>50</v>
      </c>
    </row>
    <row r="124" spans="1:9" ht="41.25" customHeight="1">
      <c r="A124" s="6" t="s">
        <v>172</v>
      </c>
      <c r="B124" s="13" t="str">
        <f t="shared" si="1"/>
        <v>ORD81703</v>
      </c>
      <c r="C124" s="1" t="s">
        <v>30</v>
      </c>
      <c r="D124" s="28"/>
      <c r="E124" s="21" t="s">
        <v>49</v>
      </c>
      <c r="F124" s="22">
        <v>45600</v>
      </c>
      <c r="G124" s="22">
        <v>45524</v>
      </c>
      <c r="H124" s="23">
        <v>29379.95</v>
      </c>
      <c r="I124" s="23" t="s">
        <v>42</v>
      </c>
    </row>
    <row r="125" spans="1:9" ht="41.25" customHeight="1">
      <c r="A125" s="6" t="s">
        <v>173</v>
      </c>
      <c r="B125" s="13" t="str">
        <f t="shared" si="1"/>
        <v>ORD81704</v>
      </c>
      <c r="C125" s="1" t="s">
        <v>5</v>
      </c>
      <c r="D125" s="28"/>
      <c r="E125" s="21" t="s">
        <v>46</v>
      </c>
      <c r="F125" s="22">
        <v>45522</v>
      </c>
      <c r="G125" s="22">
        <v>45626</v>
      </c>
      <c r="H125" s="23">
        <v>44584.04</v>
      </c>
      <c r="I125" s="23" t="s">
        <v>47</v>
      </c>
    </row>
    <row r="126" spans="1:9" ht="41.25" customHeight="1">
      <c r="A126" s="6" t="s">
        <v>174</v>
      </c>
      <c r="B126" s="13" t="str">
        <f t="shared" si="1"/>
        <v>ORD81705</v>
      </c>
      <c r="C126" s="1" t="s">
        <v>14</v>
      </c>
      <c r="D126" s="28"/>
      <c r="E126" s="21" t="s">
        <v>49</v>
      </c>
      <c r="F126" s="22">
        <v>45592</v>
      </c>
      <c r="G126" s="22">
        <v>45341</v>
      </c>
      <c r="H126" s="23">
        <v>44949.13</v>
      </c>
      <c r="I126" s="23" t="s">
        <v>47</v>
      </c>
    </row>
    <row r="127" spans="1:9" ht="41.25" customHeight="1">
      <c r="A127" s="6" t="s">
        <v>175</v>
      </c>
      <c r="B127" s="13" t="str">
        <f t="shared" si="1"/>
        <v>ORD81706</v>
      </c>
      <c r="C127" s="1" t="s">
        <v>16</v>
      </c>
      <c r="D127" s="28"/>
      <c r="E127" s="21" t="s">
        <v>49</v>
      </c>
      <c r="F127" s="22">
        <v>45468</v>
      </c>
      <c r="G127" s="22">
        <v>45377</v>
      </c>
      <c r="H127" s="23">
        <v>35275.21</v>
      </c>
      <c r="I127" s="23" t="s">
        <v>47</v>
      </c>
    </row>
    <row r="128" spans="1:9" ht="41.25" customHeight="1">
      <c r="A128" s="6" t="s">
        <v>176</v>
      </c>
      <c r="B128" s="13" t="str">
        <f t="shared" si="1"/>
        <v>ORD81707</v>
      </c>
      <c r="C128" s="1" t="s">
        <v>22</v>
      </c>
      <c r="D128" s="28"/>
      <c r="E128" s="21" t="s">
        <v>49</v>
      </c>
      <c r="F128" s="22">
        <v>45399</v>
      </c>
      <c r="G128" s="22">
        <v>45280</v>
      </c>
      <c r="H128" s="23">
        <v>21520.52</v>
      </c>
      <c r="I128" s="23" t="s">
        <v>42</v>
      </c>
    </row>
    <row r="129" spans="1:9" ht="41.25" customHeight="1">
      <c r="A129" s="6" t="s">
        <v>177</v>
      </c>
      <c r="B129" s="13" t="str">
        <f t="shared" si="1"/>
        <v>ORD81708</v>
      </c>
      <c r="C129" s="1" t="s">
        <v>28</v>
      </c>
      <c r="D129" s="28"/>
      <c r="E129" s="21" t="s">
        <v>46</v>
      </c>
      <c r="F129" s="22">
        <v>45598</v>
      </c>
      <c r="G129" s="22">
        <v>45375</v>
      </c>
      <c r="H129" s="23">
        <v>13820.09</v>
      </c>
      <c r="I129" s="23" t="s">
        <v>47</v>
      </c>
    </row>
    <row r="130" spans="1:9" ht="41.25" customHeight="1">
      <c r="A130" s="6" t="s">
        <v>178</v>
      </c>
      <c r="B130" s="13" t="str">
        <f t="shared" si="1"/>
        <v>ORD81709</v>
      </c>
      <c r="C130" s="1" t="s">
        <v>22</v>
      </c>
      <c r="D130" s="28"/>
      <c r="E130" s="21" t="s">
        <v>41</v>
      </c>
      <c r="F130" s="22">
        <v>45278</v>
      </c>
      <c r="G130" s="22">
        <v>45480</v>
      </c>
      <c r="H130" s="23">
        <v>23897.69</v>
      </c>
      <c r="I130" s="23" t="s">
        <v>50</v>
      </c>
    </row>
    <row r="131" spans="1:9" ht="41.25" customHeight="1">
      <c r="A131" s="6" t="s">
        <v>179</v>
      </c>
      <c r="B131" s="13" t="str">
        <f t="shared" si="1"/>
        <v>ORD81710</v>
      </c>
      <c r="C131" s="1" t="s">
        <v>28</v>
      </c>
      <c r="D131" s="28"/>
      <c r="E131" s="21" t="s">
        <v>41</v>
      </c>
      <c r="F131" s="22">
        <v>45468</v>
      </c>
      <c r="G131" s="22">
        <v>45632</v>
      </c>
      <c r="H131" s="23">
        <v>47765.07</v>
      </c>
      <c r="I131" s="23" t="s">
        <v>47</v>
      </c>
    </row>
    <row r="132" spans="1:9" ht="41.25" customHeight="1">
      <c r="A132" s="6" t="s">
        <v>180</v>
      </c>
      <c r="B132" s="13" t="str">
        <f t="shared" ref="B132:B195" si="2">"ORD" &amp; TEXT(RIGHT(B131,5) +1, "00000")</f>
        <v>ORD81711</v>
      </c>
      <c r="C132" s="1" t="s">
        <v>30</v>
      </c>
      <c r="D132" s="28"/>
      <c r="E132" s="21" t="s">
        <v>44</v>
      </c>
      <c r="F132" s="22">
        <v>45299</v>
      </c>
      <c r="G132" s="22">
        <v>45512</v>
      </c>
      <c r="H132" s="23">
        <v>49465.120000000003</v>
      </c>
      <c r="I132" s="23" t="s">
        <v>42</v>
      </c>
    </row>
    <row r="133" spans="1:9" ht="41.25" customHeight="1">
      <c r="A133" s="6" t="s">
        <v>181</v>
      </c>
      <c r="B133" s="13" t="str">
        <f t="shared" si="2"/>
        <v>ORD81712</v>
      </c>
      <c r="C133" s="1" t="s">
        <v>28</v>
      </c>
      <c r="D133" s="28"/>
      <c r="E133" s="21" t="s">
        <v>44</v>
      </c>
      <c r="F133" s="22">
        <v>45335</v>
      </c>
      <c r="G133" s="22">
        <v>45590</v>
      </c>
      <c r="H133" s="23">
        <v>24741.9</v>
      </c>
      <c r="I133" s="23" t="s">
        <v>50</v>
      </c>
    </row>
    <row r="134" spans="1:9" ht="41.25" customHeight="1">
      <c r="A134" s="6" t="s">
        <v>182</v>
      </c>
      <c r="B134" s="13" t="str">
        <f t="shared" si="2"/>
        <v>ORD81713</v>
      </c>
      <c r="C134" s="1" t="s">
        <v>16</v>
      </c>
      <c r="D134" s="28"/>
      <c r="E134" s="21" t="s">
        <v>44</v>
      </c>
      <c r="F134" s="22">
        <v>45580</v>
      </c>
      <c r="G134" s="22">
        <v>45510</v>
      </c>
      <c r="H134" s="23">
        <v>18596.97</v>
      </c>
      <c r="I134" s="23" t="s">
        <v>47</v>
      </c>
    </row>
    <row r="135" spans="1:9" ht="41.25" customHeight="1">
      <c r="A135" s="6" t="s">
        <v>183</v>
      </c>
      <c r="B135" s="13" t="str">
        <f t="shared" si="2"/>
        <v>ORD81714</v>
      </c>
      <c r="C135" s="1" t="s">
        <v>8</v>
      </c>
      <c r="D135" s="28"/>
      <c r="E135" s="21" t="s">
        <v>44</v>
      </c>
      <c r="F135" s="22">
        <v>45299</v>
      </c>
      <c r="G135" s="22">
        <v>45638</v>
      </c>
      <c r="H135" s="23">
        <v>41401.46</v>
      </c>
      <c r="I135" s="23" t="s">
        <v>50</v>
      </c>
    </row>
    <row r="136" spans="1:9" ht="41.25" customHeight="1">
      <c r="A136" s="6" t="s">
        <v>184</v>
      </c>
      <c r="B136" s="13" t="str">
        <f t="shared" si="2"/>
        <v>ORD81715</v>
      </c>
      <c r="C136" s="1" t="s">
        <v>8</v>
      </c>
      <c r="D136" s="28"/>
      <c r="E136" s="21" t="s">
        <v>44</v>
      </c>
      <c r="F136" s="22">
        <v>45596</v>
      </c>
      <c r="G136" s="22">
        <v>45499</v>
      </c>
      <c r="H136" s="23">
        <v>3500.24</v>
      </c>
      <c r="I136" s="23" t="s">
        <v>47</v>
      </c>
    </row>
    <row r="137" spans="1:9" ht="41.25" customHeight="1">
      <c r="A137" s="6" t="s">
        <v>185</v>
      </c>
      <c r="B137" s="13" t="str">
        <f t="shared" si="2"/>
        <v>ORD81716</v>
      </c>
      <c r="C137" s="1" t="s">
        <v>10</v>
      </c>
      <c r="D137" s="28"/>
      <c r="E137" s="21" t="s">
        <v>46</v>
      </c>
      <c r="F137" s="22">
        <v>45544</v>
      </c>
      <c r="G137" s="22">
        <v>45395</v>
      </c>
      <c r="H137" s="23">
        <v>30442</v>
      </c>
      <c r="I137" s="23" t="s">
        <v>50</v>
      </c>
    </row>
    <row r="138" spans="1:9" ht="41.25" customHeight="1">
      <c r="A138" s="6" t="s">
        <v>186</v>
      </c>
      <c r="B138" s="13" t="str">
        <f t="shared" si="2"/>
        <v>ORD81717</v>
      </c>
      <c r="C138" s="1" t="s">
        <v>14</v>
      </c>
      <c r="D138" s="28"/>
      <c r="E138" s="21" t="s">
        <v>44</v>
      </c>
      <c r="F138" s="22">
        <v>45631</v>
      </c>
      <c r="G138" s="22">
        <v>45459</v>
      </c>
      <c r="H138" s="23">
        <v>47934.09</v>
      </c>
      <c r="I138" s="23" t="s">
        <v>50</v>
      </c>
    </row>
    <row r="139" spans="1:9" ht="41.25" customHeight="1">
      <c r="A139" s="6" t="s">
        <v>187</v>
      </c>
      <c r="B139" s="13" t="str">
        <f t="shared" si="2"/>
        <v>ORD81718</v>
      </c>
      <c r="C139" s="1" t="s">
        <v>5</v>
      </c>
      <c r="D139" s="28"/>
      <c r="E139" s="21" t="s">
        <v>44</v>
      </c>
      <c r="F139" s="22">
        <v>45391</v>
      </c>
      <c r="G139" s="22">
        <v>45284</v>
      </c>
      <c r="H139" s="23">
        <v>8577.8799999999992</v>
      </c>
      <c r="I139" s="23" t="s">
        <v>50</v>
      </c>
    </row>
    <row r="140" spans="1:9" ht="41.25" customHeight="1">
      <c r="A140" s="6" t="s">
        <v>188</v>
      </c>
      <c r="B140" s="13" t="str">
        <f t="shared" si="2"/>
        <v>ORD81719</v>
      </c>
      <c r="C140" s="1" t="s">
        <v>16</v>
      </c>
      <c r="D140" s="28"/>
      <c r="E140" s="21" t="s">
        <v>41</v>
      </c>
      <c r="F140" s="22">
        <v>45501</v>
      </c>
      <c r="G140" s="22">
        <v>45602</v>
      </c>
      <c r="H140" s="23">
        <v>8591.0400000000009</v>
      </c>
      <c r="I140" s="23" t="s">
        <v>42</v>
      </c>
    </row>
    <row r="141" spans="1:9" ht="41.25" customHeight="1">
      <c r="A141" s="6" t="s">
        <v>189</v>
      </c>
      <c r="B141" s="13" t="str">
        <f t="shared" si="2"/>
        <v>ORD81720</v>
      </c>
      <c r="C141" s="1" t="s">
        <v>10</v>
      </c>
      <c r="D141" s="28"/>
      <c r="E141" s="21" t="s">
        <v>41</v>
      </c>
      <c r="F141" s="22">
        <v>45459</v>
      </c>
      <c r="G141" s="22">
        <v>45280</v>
      </c>
      <c r="H141" s="23">
        <v>21713.91</v>
      </c>
      <c r="I141" s="23" t="s">
        <v>42</v>
      </c>
    </row>
    <row r="142" spans="1:9" ht="41.25" customHeight="1">
      <c r="A142" s="6" t="s">
        <v>190</v>
      </c>
      <c r="B142" s="13" t="str">
        <f t="shared" si="2"/>
        <v>ORD81721</v>
      </c>
      <c r="C142" s="1" t="s">
        <v>18</v>
      </c>
      <c r="D142" s="28"/>
      <c r="E142" s="21" t="s">
        <v>49</v>
      </c>
      <c r="F142" s="22">
        <v>45586</v>
      </c>
      <c r="G142" s="22">
        <v>45281</v>
      </c>
      <c r="H142" s="23">
        <v>47427.02</v>
      </c>
      <c r="I142" s="23" t="s">
        <v>47</v>
      </c>
    </row>
    <row r="143" spans="1:9" ht="41.25" customHeight="1">
      <c r="A143" s="6" t="s">
        <v>191</v>
      </c>
      <c r="B143" s="13" t="str">
        <f t="shared" si="2"/>
        <v>ORD81722</v>
      </c>
      <c r="C143" s="1" t="s">
        <v>18</v>
      </c>
      <c r="D143" s="28"/>
      <c r="E143" s="21" t="s">
        <v>41</v>
      </c>
      <c r="F143" s="22">
        <v>45284</v>
      </c>
      <c r="G143" s="22">
        <v>45327</v>
      </c>
      <c r="H143" s="23">
        <v>7924.57</v>
      </c>
      <c r="I143" s="23" t="s">
        <v>50</v>
      </c>
    </row>
    <row r="144" spans="1:9" ht="41.25" customHeight="1">
      <c r="A144" s="6" t="s">
        <v>192</v>
      </c>
      <c r="B144" s="13" t="str">
        <f t="shared" si="2"/>
        <v>ORD81723</v>
      </c>
      <c r="C144" s="1" t="s">
        <v>14</v>
      </c>
      <c r="D144" s="28"/>
      <c r="E144" s="21" t="s">
        <v>46</v>
      </c>
      <c r="F144" s="22">
        <v>45396</v>
      </c>
      <c r="G144" s="22">
        <v>45517</v>
      </c>
      <c r="H144" s="23">
        <v>24588.62</v>
      </c>
      <c r="I144" s="23" t="s">
        <v>50</v>
      </c>
    </row>
    <row r="145" spans="1:9" ht="41.25" customHeight="1">
      <c r="A145" s="6" t="s">
        <v>193</v>
      </c>
      <c r="B145" s="13" t="str">
        <f t="shared" si="2"/>
        <v>ORD81724</v>
      </c>
      <c r="C145" s="1" t="s">
        <v>14</v>
      </c>
      <c r="D145" s="28"/>
      <c r="E145" s="21" t="s">
        <v>46</v>
      </c>
      <c r="F145" s="22">
        <v>45552</v>
      </c>
      <c r="G145" s="22">
        <v>45481</v>
      </c>
      <c r="H145" s="23">
        <v>9091.7800000000007</v>
      </c>
      <c r="I145" s="23" t="s">
        <v>42</v>
      </c>
    </row>
    <row r="146" spans="1:9" ht="41.25" customHeight="1">
      <c r="A146" s="6" t="s">
        <v>194</v>
      </c>
      <c r="B146" s="13" t="str">
        <f t="shared" si="2"/>
        <v>ORD81725</v>
      </c>
      <c r="C146" s="1" t="s">
        <v>8</v>
      </c>
      <c r="D146" s="28"/>
      <c r="E146" s="21" t="s">
        <v>41</v>
      </c>
      <c r="F146" s="22">
        <v>45442</v>
      </c>
      <c r="G146" s="22">
        <v>45429</v>
      </c>
      <c r="H146" s="23">
        <v>19335.43</v>
      </c>
      <c r="I146" s="23" t="s">
        <v>47</v>
      </c>
    </row>
    <row r="147" spans="1:9" ht="41.25" customHeight="1">
      <c r="A147" s="6" t="s">
        <v>195</v>
      </c>
      <c r="B147" s="13" t="str">
        <f t="shared" si="2"/>
        <v>ORD81726</v>
      </c>
      <c r="C147" s="1" t="s">
        <v>20</v>
      </c>
      <c r="D147" s="28"/>
      <c r="E147" s="21" t="s">
        <v>41</v>
      </c>
      <c r="F147" s="22">
        <v>45532</v>
      </c>
      <c r="G147" s="22">
        <v>45449</v>
      </c>
      <c r="H147" s="23">
        <v>27963.75</v>
      </c>
      <c r="I147" s="23" t="s">
        <v>47</v>
      </c>
    </row>
    <row r="148" spans="1:9" ht="41.25" customHeight="1">
      <c r="A148" s="6" t="s">
        <v>196</v>
      </c>
      <c r="B148" s="13" t="str">
        <f t="shared" si="2"/>
        <v>ORD81727</v>
      </c>
      <c r="C148" s="1" t="s">
        <v>16</v>
      </c>
      <c r="D148" s="28"/>
      <c r="E148" s="21" t="s">
        <v>44</v>
      </c>
      <c r="F148" s="22">
        <v>45462</v>
      </c>
      <c r="G148" s="22">
        <v>45420</v>
      </c>
      <c r="H148" s="23">
        <v>28617.45</v>
      </c>
      <c r="I148" s="23" t="s">
        <v>50</v>
      </c>
    </row>
    <row r="149" spans="1:9" ht="41.25" customHeight="1">
      <c r="A149" s="6" t="s">
        <v>197</v>
      </c>
      <c r="B149" s="13" t="str">
        <f t="shared" si="2"/>
        <v>ORD81728</v>
      </c>
      <c r="C149" s="1" t="s">
        <v>5</v>
      </c>
      <c r="D149" s="28"/>
      <c r="E149" s="21" t="s">
        <v>41</v>
      </c>
      <c r="F149" s="22">
        <v>45465</v>
      </c>
      <c r="G149" s="22">
        <v>45629</v>
      </c>
      <c r="H149" s="23">
        <v>46848.65</v>
      </c>
      <c r="I149" s="23" t="s">
        <v>47</v>
      </c>
    </row>
    <row r="150" spans="1:9" ht="41.25" customHeight="1">
      <c r="A150" s="6" t="s">
        <v>198</v>
      </c>
      <c r="B150" s="13" t="str">
        <f t="shared" si="2"/>
        <v>ORD81729</v>
      </c>
      <c r="C150" s="1" t="s">
        <v>18</v>
      </c>
      <c r="D150" s="28"/>
      <c r="E150" s="21" t="s">
        <v>41</v>
      </c>
      <c r="F150" s="22">
        <v>45525</v>
      </c>
      <c r="G150" s="22">
        <v>45615</v>
      </c>
      <c r="H150" s="23">
        <v>16292.74</v>
      </c>
      <c r="I150" s="23" t="s">
        <v>42</v>
      </c>
    </row>
    <row r="151" spans="1:9" ht="41.25" customHeight="1">
      <c r="A151" s="6" t="s">
        <v>199</v>
      </c>
      <c r="B151" s="13" t="str">
        <f t="shared" si="2"/>
        <v>ORD81730</v>
      </c>
      <c r="C151" s="1" t="s">
        <v>22</v>
      </c>
      <c r="D151" s="28"/>
      <c r="E151" s="21" t="s">
        <v>49</v>
      </c>
      <c r="F151" s="22">
        <v>45289</v>
      </c>
      <c r="G151" s="22">
        <v>45435</v>
      </c>
      <c r="H151" s="23">
        <v>14531.1</v>
      </c>
      <c r="I151" s="23" t="s">
        <v>50</v>
      </c>
    </row>
    <row r="152" spans="1:9" ht="41.25" customHeight="1">
      <c r="A152" s="6" t="s">
        <v>200</v>
      </c>
      <c r="B152" s="13" t="str">
        <f t="shared" si="2"/>
        <v>ORD81731</v>
      </c>
      <c r="C152" s="1" t="s">
        <v>18</v>
      </c>
      <c r="D152" s="28"/>
      <c r="E152" s="21" t="s">
        <v>49</v>
      </c>
      <c r="F152" s="22">
        <v>45325</v>
      </c>
      <c r="G152" s="22">
        <v>45434</v>
      </c>
      <c r="H152" s="23">
        <v>27701.23</v>
      </c>
      <c r="I152" s="23" t="s">
        <v>42</v>
      </c>
    </row>
    <row r="153" spans="1:9" ht="41.25" customHeight="1">
      <c r="A153" s="6" t="s">
        <v>201</v>
      </c>
      <c r="B153" s="13" t="str">
        <f t="shared" si="2"/>
        <v>ORD81732</v>
      </c>
      <c r="C153" s="1" t="s">
        <v>14</v>
      </c>
      <c r="D153" s="28"/>
      <c r="E153" s="21" t="s">
        <v>44</v>
      </c>
      <c r="F153" s="22">
        <v>45296</v>
      </c>
      <c r="G153" s="22">
        <v>45319</v>
      </c>
      <c r="H153" s="23">
        <v>22525.81</v>
      </c>
      <c r="I153" s="23" t="s">
        <v>50</v>
      </c>
    </row>
    <row r="154" spans="1:9" ht="41.25" customHeight="1">
      <c r="A154" s="6" t="s">
        <v>202</v>
      </c>
      <c r="B154" s="13" t="str">
        <f t="shared" si="2"/>
        <v>ORD81733</v>
      </c>
      <c r="C154" s="1" t="s">
        <v>20</v>
      </c>
      <c r="D154" s="28"/>
      <c r="E154" s="21" t="s">
        <v>41</v>
      </c>
      <c r="F154" s="22">
        <v>45627</v>
      </c>
      <c r="G154" s="22">
        <v>45454</v>
      </c>
      <c r="H154" s="23">
        <v>18105.419999999998</v>
      </c>
      <c r="I154" s="23" t="s">
        <v>50</v>
      </c>
    </row>
    <row r="155" spans="1:9" ht="41.25" customHeight="1">
      <c r="A155" s="6" t="s">
        <v>203</v>
      </c>
      <c r="B155" s="13" t="str">
        <f t="shared" si="2"/>
        <v>ORD81734</v>
      </c>
      <c r="C155" s="1" t="s">
        <v>26</v>
      </c>
      <c r="D155" s="28"/>
      <c r="E155" s="21" t="s">
        <v>41</v>
      </c>
      <c r="F155" s="22">
        <v>45387</v>
      </c>
      <c r="G155" s="22">
        <v>45581</v>
      </c>
      <c r="H155" s="23">
        <v>46534.48</v>
      </c>
      <c r="I155" s="23" t="s">
        <v>47</v>
      </c>
    </row>
    <row r="156" spans="1:9" ht="41.25" customHeight="1">
      <c r="A156" s="6" t="s">
        <v>204</v>
      </c>
      <c r="B156" s="13" t="str">
        <f t="shared" si="2"/>
        <v>ORD81735</v>
      </c>
      <c r="C156" s="1" t="s">
        <v>10</v>
      </c>
      <c r="D156" s="28"/>
      <c r="E156" s="21" t="s">
        <v>49</v>
      </c>
      <c r="F156" s="22">
        <v>45457</v>
      </c>
      <c r="G156" s="22">
        <v>45456</v>
      </c>
      <c r="H156" s="23">
        <v>43237.87</v>
      </c>
      <c r="I156" s="23" t="s">
        <v>47</v>
      </c>
    </row>
    <row r="157" spans="1:9" ht="41.25" customHeight="1">
      <c r="A157" s="6" t="s">
        <v>205</v>
      </c>
      <c r="B157" s="13" t="str">
        <f t="shared" si="2"/>
        <v>ORD81736</v>
      </c>
      <c r="C157" s="1" t="s">
        <v>16</v>
      </c>
      <c r="D157" s="28"/>
      <c r="E157" s="21" t="s">
        <v>41</v>
      </c>
      <c r="F157" s="22">
        <v>45309</v>
      </c>
      <c r="G157" s="22">
        <v>45299</v>
      </c>
      <c r="H157" s="23">
        <v>24215.81</v>
      </c>
      <c r="I157" s="23" t="s">
        <v>50</v>
      </c>
    </row>
    <row r="158" spans="1:9" ht="41.25" customHeight="1">
      <c r="A158" s="6" t="s">
        <v>206</v>
      </c>
      <c r="B158" s="13" t="str">
        <f t="shared" si="2"/>
        <v>ORD81737</v>
      </c>
      <c r="C158" s="1" t="s">
        <v>12</v>
      </c>
      <c r="D158" s="28"/>
      <c r="E158" s="21" t="s">
        <v>44</v>
      </c>
      <c r="F158" s="22">
        <v>45539</v>
      </c>
      <c r="G158" s="22">
        <v>45343</v>
      </c>
      <c r="H158" s="23">
        <v>5154.58</v>
      </c>
      <c r="I158" s="23" t="s">
        <v>50</v>
      </c>
    </row>
    <row r="159" spans="1:9" ht="41.25" customHeight="1">
      <c r="A159" s="6" t="s">
        <v>207</v>
      </c>
      <c r="B159" s="13" t="str">
        <f t="shared" si="2"/>
        <v>ORD81738</v>
      </c>
      <c r="C159" s="1" t="s">
        <v>18</v>
      </c>
      <c r="D159" s="28"/>
      <c r="E159" s="21" t="s">
        <v>44</v>
      </c>
      <c r="F159" s="22">
        <v>45290</v>
      </c>
      <c r="G159" s="22">
        <v>45546</v>
      </c>
      <c r="H159" s="23">
        <v>48541.14</v>
      </c>
      <c r="I159" s="23" t="s">
        <v>47</v>
      </c>
    </row>
    <row r="160" spans="1:9" ht="41.25" customHeight="1">
      <c r="A160" s="6" t="s">
        <v>208</v>
      </c>
      <c r="B160" s="13" t="str">
        <f t="shared" si="2"/>
        <v>ORD81739</v>
      </c>
      <c r="C160" s="1" t="s">
        <v>20</v>
      </c>
      <c r="D160" s="28"/>
      <c r="E160" s="21" t="s">
        <v>41</v>
      </c>
      <c r="F160" s="22">
        <v>45417</v>
      </c>
      <c r="G160" s="22">
        <v>45494</v>
      </c>
      <c r="H160" s="23">
        <v>29150.13</v>
      </c>
      <c r="I160" s="23" t="s">
        <v>47</v>
      </c>
    </row>
    <row r="161" spans="1:9" ht="41.25" customHeight="1">
      <c r="A161" s="6" t="s">
        <v>209</v>
      </c>
      <c r="B161" s="13" t="str">
        <f t="shared" si="2"/>
        <v>ORD81740</v>
      </c>
      <c r="C161" s="1" t="s">
        <v>24</v>
      </c>
      <c r="D161" s="28"/>
      <c r="E161" s="21" t="s">
        <v>41</v>
      </c>
      <c r="F161" s="22">
        <v>45327</v>
      </c>
      <c r="G161" s="22">
        <v>45603</v>
      </c>
      <c r="H161" s="23">
        <v>32185.39</v>
      </c>
      <c r="I161" s="23" t="s">
        <v>50</v>
      </c>
    </row>
    <row r="162" spans="1:9" ht="41.25" customHeight="1">
      <c r="A162" s="6" t="s">
        <v>210</v>
      </c>
      <c r="B162" s="13" t="str">
        <f t="shared" si="2"/>
        <v>ORD81741</v>
      </c>
      <c r="C162" s="1" t="s">
        <v>14</v>
      </c>
      <c r="D162" s="28"/>
      <c r="E162" s="21" t="s">
        <v>49</v>
      </c>
      <c r="F162" s="22">
        <v>45484</v>
      </c>
      <c r="G162" s="22">
        <v>45423</v>
      </c>
      <c r="H162" s="23">
        <v>31377.89</v>
      </c>
      <c r="I162" s="23" t="s">
        <v>42</v>
      </c>
    </row>
    <row r="163" spans="1:9" ht="41.25" customHeight="1">
      <c r="A163" s="6" t="s">
        <v>211</v>
      </c>
      <c r="B163" s="13" t="str">
        <f t="shared" si="2"/>
        <v>ORD81742</v>
      </c>
      <c r="C163" s="1" t="s">
        <v>28</v>
      </c>
      <c r="D163" s="28"/>
      <c r="E163" s="21" t="s">
        <v>41</v>
      </c>
      <c r="F163" s="22">
        <v>45464</v>
      </c>
      <c r="G163" s="22">
        <v>45331</v>
      </c>
      <c r="H163" s="23">
        <v>21483.94</v>
      </c>
      <c r="I163" s="23" t="s">
        <v>42</v>
      </c>
    </row>
    <row r="164" spans="1:9" ht="41.25" customHeight="1">
      <c r="A164" s="6" t="s">
        <v>212</v>
      </c>
      <c r="B164" s="13" t="str">
        <f t="shared" si="2"/>
        <v>ORD81743</v>
      </c>
      <c r="C164" s="1" t="s">
        <v>14</v>
      </c>
      <c r="D164" s="28"/>
      <c r="E164" s="21" t="s">
        <v>44</v>
      </c>
      <c r="F164" s="22">
        <v>45605</v>
      </c>
      <c r="G164" s="22">
        <v>45620</v>
      </c>
      <c r="H164" s="23">
        <v>21091.11</v>
      </c>
      <c r="I164" s="23" t="s">
        <v>50</v>
      </c>
    </row>
    <row r="165" spans="1:9" ht="41.25" customHeight="1">
      <c r="A165" s="6" t="s">
        <v>213</v>
      </c>
      <c r="B165" s="13" t="str">
        <f t="shared" si="2"/>
        <v>ORD81744</v>
      </c>
      <c r="C165" s="1" t="s">
        <v>14</v>
      </c>
      <c r="D165" s="28"/>
      <c r="E165" s="21" t="s">
        <v>41</v>
      </c>
      <c r="F165" s="22">
        <v>45557</v>
      </c>
      <c r="G165" s="22">
        <v>45620</v>
      </c>
      <c r="H165" s="23">
        <v>31631.97</v>
      </c>
      <c r="I165" s="23" t="s">
        <v>42</v>
      </c>
    </row>
    <row r="166" spans="1:9" ht="41.25" customHeight="1">
      <c r="A166" s="6" t="s">
        <v>214</v>
      </c>
      <c r="B166" s="13" t="str">
        <f t="shared" si="2"/>
        <v>ORD81745</v>
      </c>
      <c r="C166" s="1" t="s">
        <v>26</v>
      </c>
      <c r="D166" s="28"/>
      <c r="E166" s="21" t="s">
        <v>44</v>
      </c>
      <c r="F166" s="22">
        <v>45352</v>
      </c>
      <c r="G166" s="22">
        <v>45373</v>
      </c>
      <c r="H166" s="23">
        <v>29043.52</v>
      </c>
      <c r="I166" s="23" t="s">
        <v>50</v>
      </c>
    </row>
    <row r="167" spans="1:9" ht="41.25" customHeight="1">
      <c r="A167" s="6" t="s">
        <v>215</v>
      </c>
      <c r="B167" s="13" t="str">
        <f t="shared" si="2"/>
        <v>ORD81746</v>
      </c>
      <c r="C167" s="1" t="s">
        <v>24</v>
      </c>
      <c r="D167" s="28"/>
      <c r="E167" s="21" t="s">
        <v>46</v>
      </c>
      <c r="F167" s="22">
        <v>45299</v>
      </c>
      <c r="G167" s="22">
        <v>45583</v>
      </c>
      <c r="H167" s="23">
        <v>28271.26</v>
      </c>
      <c r="I167" s="23" t="s">
        <v>42</v>
      </c>
    </row>
    <row r="168" spans="1:9" ht="41.25" customHeight="1">
      <c r="A168" s="6" t="s">
        <v>216</v>
      </c>
      <c r="B168" s="13" t="str">
        <f t="shared" si="2"/>
        <v>ORD81747</v>
      </c>
      <c r="C168" s="1" t="s">
        <v>18</v>
      </c>
      <c r="D168" s="28"/>
      <c r="E168" s="21" t="s">
        <v>46</v>
      </c>
      <c r="F168" s="22">
        <v>45605</v>
      </c>
      <c r="G168" s="22">
        <v>45500</v>
      </c>
      <c r="H168" s="23">
        <v>18870.400000000001</v>
      </c>
      <c r="I168" s="23" t="s">
        <v>42</v>
      </c>
    </row>
    <row r="169" spans="1:9" ht="41.25" customHeight="1">
      <c r="A169" s="6" t="s">
        <v>217</v>
      </c>
      <c r="B169" s="13" t="str">
        <f t="shared" si="2"/>
        <v>ORD81748</v>
      </c>
      <c r="C169" s="1" t="s">
        <v>20</v>
      </c>
      <c r="D169" s="28"/>
      <c r="E169" s="21" t="s">
        <v>49</v>
      </c>
      <c r="F169" s="22">
        <v>45338</v>
      </c>
      <c r="G169" s="22">
        <v>45342</v>
      </c>
      <c r="H169" s="23">
        <v>15198.95</v>
      </c>
      <c r="I169" s="23" t="s">
        <v>50</v>
      </c>
    </row>
    <row r="170" spans="1:9" ht="41.25" customHeight="1">
      <c r="A170" s="6" t="s">
        <v>218</v>
      </c>
      <c r="B170" s="13" t="str">
        <f t="shared" si="2"/>
        <v>ORD81749</v>
      </c>
      <c r="C170" s="1" t="s">
        <v>28</v>
      </c>
      <c r="D170" s="28"/>
      <c r="E170" s="21" t="s">
        <v>44</v>
      </c>
      <c r="F170" s="22">
        <v>45532</v>
      </c>
      <c r="G170" s="22">
        <v>45547</v>
      </c>
      <c r="H170" s="23">
        <v>39600.26</v>
      </c>
      <c r="I170" s="23" t="s">
        <v>47</v>
      </c>
    </row>
    <row r="171" spans="1:9" ht="41.25" customHeight="1">
      <c r="A171" s="6" t="s">
        <v>219</v>
      </c>
      <c r="B171" s="13" t="str">
        <f t="shared" si="2"/>
        <v>ORD81750</v>
      </c>
      <c r="C171" s="1" t="s">
        <v>12</v>
      </c>
      <c r="D171" s="28"/>
      <c r="E171" s="21" t="s">
        <v>49</v>
      </c>
      <c r="F171" s="22">
        <v>45518</v>
      </c>
      <c r="G171" s="22">
        <v>45505</v>
      </c>
      <c r="H171" s="23">
        <v>11193.38</v>
      </c>
      <c r="I171" s="23" t="s">
        <v>47</v>
      </c>
    </row>
    <row r="172" spans="1:9" ht="41.25" customHeight="1">
      <c r="A172" s="6" t="s">
        <v>220</v>
      </c>
      <c r="B172" s="13" t="str">
        <f t="shared" si="2"/>
        <v>ORD81751</v>
      </c>
      <c r="C172" s="1" t="s">
        <v>30</v>
      </c>
      <c r="D172" s="28"/>
      <c r="E172" s="21" t="s">
        <v>46</v>
      </c>
      <c r="F172" s="22">
        <v>45280</v>
      </c>
      <c r="G172" s="22">
        <v>45311</v>
      </c>
      <c r="H172" s="23">
        <v>5271.9</v>
      </c>
      <c r="I172" s="23" t="s">
        <v>42</v>
      </c>
    </row>
    <row r="173" spans="1:9" ht="41.25" customHeight="1">
      <c r="A173" s="6" t="s">
        <v>221</v>
      </c>
      <c r="B173" s="13" t="str">
        <f t="shared" si="2"/>
        <v>ORD81752</v>
      </c>
      <c r="C173" s="1" t="s">
        <v>26</v>
      </c>
      <c r="D173" s="28"/>
      <c r="E173" s="21" t="s">
        <v>44</v>
      </c>
      <c r="F173" s="22">
        <v>45462</v>
      </c>
      <c r="G173" s="22">
        <v>45511</v>
      </c>
      <c r="H173" s="23">
        <v>20849.240000000002</v>
      </c>
      <c r="I173" s="23" t="s">
        <v>47</v>
      </c>
    </row>
    <row r="174" spans="1:9" ht="41.25" customHeight="1">
      <c r="A174" s="6" t="s">
        <v>222</v>
      </c>
      <c r="B174" s="13" t="str">
        <f t="shared" si="2"/>
        <v>ORD81753</v>
      </c>
      <c r="C174" s="1" t="s">
        <v>5</v>
      </c>
      <c r="D174" s="28"/>
      <c r="E174" s="21" t="s">
        <v>49</v>
      </c>
      <c r="F174" s="22">
        <v>45486</v>
      </c>
      <c r="G174" s="22">
        <v>45350</v>
      </c>
      <c r="H174" s="23">
        <v>47233.53</v>
      </c>
      <c r="I174" s="23" t="s">
        <v>42</v>
      </c>
    </row>
    <row r="175" spans="1:9" ht="41.25" customHeight="1">
      <c r="A175" s="6" t="s">
        <v>223</v>
      </c>
      <c r="B175" s="13" t="str">
        <f t="shared" si="2"/>
        <v>ORD81754</v>
      </c>
      <c r="C175" s="1" t="s">
        <v>14</v>
      </c>
      <c r="D175" s="28"/>
      <c r="E175" s="21" t="s">
        <v>46</v>
      </c>
      <c r="F175" s="22">
        <v>45443</v>
      </c>
      <c r="G175" s="22">
        <v>45608</v>
      </c>
      <c r="H175" s="23">
        <v>25641.27</v>
      </c>
      <c r="I175" s="23" t="s">
        <v>42</v>
      </c>
    </row>
    <row r="176" spans="1:9" ht="41.25" customHeight="1">
      <c r="A176" s="6" t="s">
        <v>224</v>
      </c>
      <c r="B176" s="13" t="str">
        <f t="shared" si="2"/>
        <v>ORD81755</v>
      </c>
      <c r="C176" s="1" t="s">
        <v>24</v>
      </c>
      <c r="D176" s="28"/>
      <c r="E176" s="21" t="s">
        <v>44</v>
      </c>
      <c r="F176" s="22">
        <v>45420</v>
      </c>
      <c r="G176" s="22">
        <v>45523</v>
      </c>
      <c r="H176" s="23">
        <v>49150.2</v>
      </c>
      <c r="I176" s="23" t="s">
        <v>47</v>
      </c>
    </row>
    <row r="177" spans="1:9" ht="41.25" customHeight="1">
      <c r="A177" s="6" t="s">
        <v>225</v>
      </c>
      <c r="B177" s="13" t="str">
        <f t="shared" si="2"/>
        <v>ORD81756</v>
      </c>
      <c r="C177" s="1" t="s">
        <v>12</v>
      </c>
      <c r="D177" s="28"/>
      <c r="E177" s="21" t="s">
        <v>46</v>
      </c>
      <c r="F177" s="22">
        <v>45546</v>
      </c>
      <c r="G177" s="22">
        <v>45542</v>
      </c>
      <c r="H177" s="23">
        <v>15809.52</v>
      </c>
      <c r="I177" s="23" t="s">
        <v>42</v>
      </c>
    </row>
    <row r="178" spans="1:9" ht="41.25" customHeight="1">
      <c r="A178" s="6" t="s">
        <v>226</v>
      </c>
      <c r="B178" s="13" t="str">
        <f t="shared" si="2"/>
        <v>ORD81757</v>
      </c>
      <c r="C178" s="1" t="s">
        <v>18</v>
      </c>
      <c r="D178" s="28"/>
      <c r="E178" s="21" t="s">
        <v>41</v>
      </c>
      <c r="F178" s="22">
        <v>45638</v>
      </c>
      <c r="G178" s="22">
        <v>45282</v>
      </c>
      <c r="H178" s="23">
        <v>30396.41</v>
      </c>
      <c r="I178" s="23" t="s">
        <v>50</v>
      </c>
    </row>
    <row r="179" spans="1:9" ht="41.25" customHeight="1">
      <c r="A179" s="6" t="s">
        <v>227</v>
      </c>
      <c r="B179" s="13" t="str">
        <f t="shared" si="2"/>
        <v>ORD81758</v>
      </c>
      <c r="C179" s="1" t="s">
        <v>8</v>
      </c>
      <c r="D179" s="28"/>
      <c r="E179" s="21" t="s">
        <v>46</v>
      </c>
      <c r="F179" s="22">
        <v>45421</v>
      </c>
      <c r="G179" s="22">
        <v>45379</v>
      </c>
      <c r="H179" s="23">
        <v>10971.85</v>
      </c>
      <c r="I179" s="23" t="s">
        <v>42</v>
      </c>
    </row>
    <row r="180" spans="1:9" ht="41.25" customHeight="1">
      <c r="A180" s="6" t="s">
        <v>228</v>
      </c>
      <c r="B180" s="13" t="str">
        <f t="shared" si="2"/>
        <v>ORD81759</v>
      </c>
      <c r="C180" s="1" t="s">
        <v>10</v>
      </c>
      <c r="D180" s="28"/>
      <c r="E180" s="21" t="s">
        <v>44</v>
      </c>
      <c r="F180" s="22">
        <v>45589</v>
      </c>
      <c r="G180" s="22">
        <v>45614</v>
      </c>
      <c r="H180" s="23">
        <v>6900.29</v>
      </c>
      <c r="I180" s="23" t="s">
        <v>42</v>
      </c>
    </row>
    <row r="181" spans="1:9" ht="41.25" customHeight="1">
      <c r="A181" s="6" t="s">
        <v>229</v>
      </c>
      <c r="B181" s="13" t="str">
        <f t="shared" si="2"/>
        <v>ORD81760</v>
      </c>
      <c r="C181" s="1" t="s">
        <v>24</v>
      </c>
      <c r="D181" s="28"/>
      <c r="E181" s="21" t="s">
        <v>41</v>
      </c>
      <c r="F181" s="22">
        <v>45432</v>
      </c>
      <c r="G181" s="22">
        <v>45642</v>
      </c>
      <c r="H181" s="23">
        <v>2414.36</v>
      </c>
      <c r="I181" s="23" t="s">
        <v>42</v>
      </c>
    </row>
    <row r="182" spans="1:9" ht="41.25" customHeight="1">
      <c r="A182" s="6" t="s">
        <v>230</v>
      </c>
      <c r="B182" s="13" t="str">
        <f t="shared" si="2"/>
        <v>ORD81761</v>
      </c>
      <c r="C182" s="1" t="s">
        <v>26</v>
      </c>
      <c r="D182" s="28"/>
      <c r="E182" s="21" t="s">
        <v>49</v>
      </c>
      <c r="F182" s="22">
        <v>45509</v>
      </c>
      <c r="G182" s="22">
        <v>45338</v>
      </c>
      <c r="H182" s="23">
        <v>29751.94</v>
      </c>
      <c r="I182" s="23" t="s">
        <v>42</v>
      </c>
    </row>
    <row r="183" spans="1:9" ht="41.25" customHeight="1">
      <c r="A183" s="6" t="s">
        <v>231</v>
      </c>
      <c r="B183" s="13" t="str">
        <f t="shared" si="2"/>
        <v>ORD81762</v>
      </c>
      <c r="C183" s="1" t="s">
        <v>14</v>
      </c>
      <c r="D183" s="28"/>
      <c r="E183" s="21" t="s">
        <v>44</v>
      </c>
      <c r="F183" s="22">
        <v>45343</v>
      </c>
      <c r="G183" s="22">
        <v>45329</v>
      </c>
      <c r="H183" s="23">
        <v>16965.32</v>
      </c>
      <c r="I183" s="23" t="s">
        <v>50</v>
      </c>
    </row>
    <row r="184" spans="1:9" ht="41.25" customHeight="1">
      <c r="A184" s="6" t="s">
        <v>232</v>
      </c>
      <c r="B184" s="13" t="str">
        <f t="shared" si="2"/>
        <v>ORD81763</v>
      </c>
      <c r="C184" s="1" t="s">
        <v>30</v>
      </c>
      <c r="D184" s="28"/>
      <c r="E184" s="21" t="s">
        <v>41</v>
      </c>
      <c r="F184" s="22">
        <v>45417</v>
      </c>
      <c r="G184" s="22">
        <v>45279</v>
      </c>
      <c r="H184" s="23">
        <v>18424.05</v>
      </c>
      <c r="I184" s="23" t="s">
        <v>47</v>
      </c>
    </row>
    <row r="185" spans="1:9" ht="41.25" customHeight="1">
      <c r="A185" s="6" t="s">
        <v>233</v>
      </c>
      <c r="B185" s="13" t="str">
        <f t="shared" si="2"/>
        <v>ORD81764</v>
      </c>
      <c r="C185" s="1" t="s">
        <v>28</v>
      </c>
      <c r="D185" s="28"/>
      <c r="E185" s="21" t="s">
        <v>41</v>
      </c>
      <c r="F185" s="22">
        <v>45562</v>
      </c>
      <c r="G185" s="22">
        <v>45621</v>
      </c>
      <c r="H185" s="23">
        <v>32918.620000000003</v>
      </c>
      <c r="I185" s="23" t="s">
        <v>42</v>
      </c>
    </row>
    <row r="186" spans="1:9" ht="41.25" customHeight="1">
      <c r="A186" s="6" t="s">
        <v>234</v>
      </c>
      <c r="B186" s="13" t="str">
        <f t="shared" si="2"/>
        <v>ORD81765</v>
      </c>
      <c r="C186" s="1" t="s">
        <v>8</v>
      </c>
      <c r="D186" s="28"/>
      <c r="E186" s="21" t="s">
        <v>46</v>
      </c>
      <c r="F186" s="22">
        <v>45520</v>
      </c>
      <c r="G186" s="22">
        <v>45462</v>
      </c>
      <c r="H186" s="23">
        <v>44983.42</v>
      </c>
      <c r="I186" s="23" t="s">
        <v>47</v>
      </c>
    </row>
    <row r="187" spans="1:9" ht="41.25" customHeight="1">
      <c r="A187" s="6" t="s">
        <v>235</v>
      </c>
      <c r="B187" s="13" t="str">
        <f t="shared" si="2"/>
        <v>ORD81766</v>
      </c>
      <c r="C187" s="1" t="s">
        <v>30</v>
      </c>
      <c r="D187" s="28"/>
      <c r="E187" s="21" t="s">
        <v>46</v>
      </c>
      <c r="F187" s="22">
        <v>45359</v>
      </c>
      <c r="G187" s="22">
        <v>45316</v>
      </c>
      <c r="H187" s="23">
        <v>10427.94</v>
      </c>
      <c r="I187" s="23" t="s">
        <v>47</v>
      </c>
    </row>
    <row r="188" spans="1:9" ht="41.25" customHeight="1">
      <c r="A188" s="6" t="s">
        <v>236</v>
      </c>
      <c r="B188" s="13" t="str">
        <f t="shared" si="2"/>
        <v>ORD81767</v>
      </c>
      <c r="C188" s="1" t="s">
        <v>22</v>
      </c>
      <c r="D188" s="28"/>
      <c r="E188" s="21" t="s">
        <v>44</v>
      </c>
      <c r="F188" s="22">
        <v>45385</v>
      </c>
      <c r="G188" s="22">
        <v>45569</v>
      </c>
      <c r="H188" s="23">
        <v>14409.46</v>
      </c>
      <c r="I188" s="23" t="s">
        <v>42</v>
      </c>
    </row>
    <row r="189" spans="1:9" ht="41.25" customHeight="1">
      <c r="A189" s="6" t="s">
        <v>237</v>
      </c>
      <c r="B189" s="13" t="str">
        <f t="shared" si="2"/>
        <v>ORD81768</v>
      </c>
      <c r="C189" s="1" t="s">
        <v>28</v>
      </c>
      <c r="D189" s="28"/>
      <c r="E189" s="21" t="s">
        <v>41</v>
      </c>
      <c r="F189" s="22">
        <v>45317</v>
      </c>
      <c r="G189" s="22">
        <v>45301</v>
      </c>
      <c r="H189" s="23">
        <v>47626.49</v>
      </c>
      <c r="I189" s="23" t="s">
        <v>47</v>
      </c>
    </row>
    <row r="190" spans="1:9" ht="41.25" customHeight="1">
      <c r="A190" s="6" t="s">
        <v>238</v>
      </c>
      <c r="B190" s="13" t="str">
        <f t="shared" si="2"/>
        <v>ORD81769</v>
      </c>
      <c r="C190" s="1" t="s">
        <v>16</v>
      </c>
      <c r="D190" s="28"/>
      <c r="E190" s="21" t="s">
        <v>41</v>
      </c>
      <c r="F190" s="22">
        <v>45556</v>
      </c>
      <c r="G190" s="22">
        <v>45486</v>
      </c>
      <c r="H190" s="23">
        <v>3482.88</v>
      </c>
      <c r="I190" s="23" t="s">
        <v>47</v>
      </c>
    </row>
    <row r="191" spans="1:9" ht="41.25" customHeight="1">
      <c r="A191" s="6" t="s">
        <v>239</v>
      </c>
      <c r="B191" s="13" t="str">
        <f t="shared" si="2"/>
        <v>ORD81770</v>
      </c>
      <c r="C191" s="1" t="s">
        <v>8</v>
      </c>
      <c r="D191" s="28"/>
      <c r="E191" s="21" t="s">
        <v>46</v>
      </c>
      <c r="F191" s="22">
        <v>45513</v>
      </c>
      <c r="G191" s="22">
        <v>45631</v>
      </c>
      <c r="H191" s="23">
        <v>40594.910000000003</v>
      </c>
      <c r="I191" s="23" t="s">
        <v>50</v>
      </c>
    </row>
    <row r="192" spans="1:9" ht="41.25" customHeight="1">
      <c r="A192" s="6" t="s">
        <v>240</v>
      </c>
      <c r="B192" s="13" t="str">
        <f t="shared" si="2"/>
        <v>ORD81771</v>
      </c>
      <c r="C192" s="1" t="s">
        <v>14</v>
      </c>
      <c r="D192" s="28"/>
      <c r="E192" s="21" t="s">
        <v>41</v>
      </c>
      <c r="F192" s="22">
        <v>45330</v>
      </c>
      <c r="G192" s="22">
        <v>45446</v>
      </c>
      <c r="H192" s="23">
        <v>11491.26</v>
      </c>
      <c r="I192" s="23" t="s">
        <v>50</v>
      </c>
    </row>
    <row r="193" spans="1:9" ht="41.25" customHeight="1">
      <c r="A193" s="6" t="s">
        <v>241</v>
      </c>
      <c r="B193" s="13" t="str">
        <f t="shared" si="2"/>
        <v>ORD81772</v>
      </c>
      <c r="C193" s="1" t="s">
        <v>5</v>
      </c>
      <c r="D193" s="28"/>
      <c r="E193" s="21" t="s">
        <v>41</v>
      </c>
      <c r="F193" s="22">
        <v>45532</v>
      </c>
      <c r="G193" s="22">
        <v>45306</v>
      </c>
      <c r="H193" s="23">
        <v>20956.79</v>
      </c>
      <c r="I193" s="23" t="s">
        <v>47</v>
      </c>
    </row>
    <row r="194" spans="1:9" ht="41.25" customHeight="1">
      <c r="A194" s="6" t="s">
        <v>242</v>
      </c>
      <c r="B194" s="13" t="str">
        <f t="shared" si="2"/>
        <v>ORD81773</v>
      </c>
      <c r="C194" s="1" t="s">
        <v>26</v>
      </c>
      <c r="D194" s="28"/>
      <c r="E194" s="21" t="s">
        <v>49</v>
      </c>
      <c r="F194" s="22">
        <v>45382</v>
      </c>
      <c r="G194" s="22">
        <v>45422</v>
      </c>
      <c r="H194" s="23">
        <v>35833.03</v>
      </c>
      <c r="I194" s="23" t="s">
        <v>42</v>
      </c>
    </row>
    <row r="195" spans="1:9" ht="41.25" customHeight="1">
      <c r="A195" s="6" t="s">
        <v>243</v>
      </c>
      <c r="B195" s="13" t="str">
        <f t="shared" si="2"/>
        <v>ORD81774</v>
      </c>
      <c r="C195" s="1" t="s">
        <v>30</v>
      </c>
      <c r="D195" s="28"/>
      <c r="E195" s="21" t="s">
        <v>44</v>
      </c>
      <c r="F195" s="22">
        <v>45463</v>
      </c>
      <c r="G195" s="22">
        <v>45350</v>
      </c>
      <c r="H195" s="23">
        <v>8690.9500000000007</v>
      </c>
      <c r="I195" s="23" t="s">
        <v>47</v>
      </c>
    </row>
    <row r="196" spans="1:9" ht="41.25" customHeight="1">
      <c r="A196" s="6" t="s">
        <v>244</v>
      </c>
      <c r="B196" s="13" t="str">
        <f t="shared" ref="B196:B251" si="3">"ORD" &amp; TEXT(RIGHT(B195,5) +1, "00000")</f>
        <v>ORD81775</v>
      </c>
      <c r="C196" s="1" t="s">
        <v>14</v>
      </c>
      <c r="D196" s="28"/>
      <c r="E196" s="21" t="s">
        <v>41</v>
      </c>
      <c r="F196" s="22">
        <v>45479</v>
      </c>
      <c r="G196" s="22">
        <v>45371</v>
      </c>
      <c r="H196" s="23">
        <v>6597.48</v>
      </c>
      <c r="I196" s="23" t="s">
        <v>42</v>
      </c>
    </row>
    <row r="197" spans="1:9" ht="41.25" customHeight="1">
      <c r="A197" s="6" t="s">
        <v>245</v>
      </c>
      <c r="B197" s="13" t="str">
        <f>"ORD" &amp; TEXT(RIGHT(B196,5) +1, "00000")</f>
        <v>ORD81776</v>
      </c>
      <c r="C197" s="1" t="s">
        <v>24</v>
      </c>
      <c r="D197" s="28"/>
      <c r="E197" s="21" t="s">
        <v>49</v>
      </c>
      <c r="F197" s="22">
        <v>45564</v>
      </c>
      <c r="G197" s="22">
        <v>45575</v>
      </c>
      <c r="H197" s="23">
        <v>28328.38</v>
      </c>
      <c r="I197" s="23" t="s">
        <v>42</v>
      </c>
    </row>
    <row r="198" spans="1:9" ht="41.25" customHeight="1">
      <c r="A198" s="6" t="s">
        <v>246</v>
      </c>
      <c r="B198" s="13" t="str">
        <f t="shared" si="3"/>
        <v>ORD81777</v>
      </c>
      <c r="C198" s="1" t="s">
        <v>30</v>
      </c>
      <c r="D198" s="28"/>
      <c r="E198" s="21" t="s">
        <v>41</v>
      </c>
      <c r="F198" s="22">
        <v>45504</v>
      </c>
      <c r="G198" s="22">
        <v>45553</v>
      </c>
      <c r="H198" s="23">
        <v>49133.36</v>
      </c>
      <c r="I198" s="23" t="s">
        <v>47</v>
      </c>
    </row>
    <row r="199" spans="1:9" ht="41.25" customHeight="1">
      <c r="A199" s="6" t="s">
        <v>247</v>
      </c>
      <c r="B199" s="13" t="str">
        <f>"ORD" &amp; TEXT(RIGHT(B198,5) +1, "00000")</f>
        <v>ORD81778</v>
      </c>
      <c r="C199" s="1" t="s">
        <v>16</v>
      </c>
      <c r="D199" s="28"/>
      <c r="E199" s="21" t="s">
        <v>49</v>
      </c>
      <c r="F199" s="22">
        <v>45459</v>
      </c>
      <c r="G199" s="22">
        <v>45399</v>
      </c>
      <c r="H199" s="23">
        <v>10649.14</v>
      </c>
      <c r="I199" s="23" t="s">
        <v>50</v>
      </c>
    </row>
    <row r="200" spans="1:9" ht="41.25" customHeight="1">
      <c r="A200" s="6" t="s">
        <v>248</v>
      </c>
      <c r="B200" s="13" t="str">
        <f t="shared" si="3"/>
        <v>ORD81779</v>
      </c>
      <c r="C200" s="1" t="s">
        <v>22</v>
      </c>
      <c r="D200" s="28"/>
      <c r="E200" s="21" t="s">
        <v>44</v>
      </c>
      <c r="F200" s="22">
        <v>45601</v>
      </c>
      <c r="G200" s="22">
        <v>45394</v>
      </c>
      <c r="H200" s="23">
        <v>19893.009999999998</v>
      </c>
      <c r="I200" s="23" t="s">
        <v>47</v>
      </c>
    </row>
    <row r="201" spans="1:9" ht="41.25" customHeight="1">
      <c r="A201" s="6" t="s">
        <v>249</v>
      </c>
      <c r="B201" s="13" t="str">
        <f t="shared" si="3"/>
        <v>ORD81780</v>
      </c>
      <c r="C201" s="1" t="s">
        <v>20</v>
      </c>
      <c r="D201" s="28"/>
      <c r="E201" s="21" t="s">
        <v>44</v>
      </c>
      <c r="F201" s="22">
        <v>45535</v>
      </c>
      <c r="G201" s="22">
        <v>45548</v>
      </c>
      <c r="H201" s="23">
        <v>21023.33</v>
      </c>
      <c r="I201" s="23" t="s">
        <v>50</v>
      </c>
    </row>
    <row r="202" spans="1:9" ht="41.25" customHeight="1">
      <c r="A202" s="6" t="s">
        <v>250</v>
      </c>
      <c r="B202" s="13" t="str">
        <f t="shared" si="3"/>
        <v>ORD81781</v>
      </c>
      <c r="C202" s="1" t="s">
        <v>22</v>
      </c>
      <c r="D202" s="28"/>
      <c r="E202" s="21" t="s">
        <v>44</v>
      </c>
      <c r="F202" s="22">
        <v>45421</v>
      </c>
      <c r="G202" s="22">
        <v>45473</v>
      </c>
      <c r="H202" s="23">
        <v>31967.32</v>
      </c>
      <c r="I202" s="23" t="s">
        <v>47</v>
      </c>
    </row>
    <row r="203" spans="1:9" ht="41.25" customHeight="1">
      <c r="A203" s="6" t="s">
        <v>251</v>
      </c>
      <c r="B203" s="13" t="str">
        <f>"ORD" &amp; TEXT(RIGHT(B202,5) +1, "00000")</f>
        <v>ORD81782</v>
      </c>
      <c r="C203" s="1" t="s">
        <v>18</v>
      </c>
      <c r="D203" s="28"/>
      <c r="E203" s="21" t="s">
        <v>41</v>
      </c>
      <c r="F203" s="22">
        <v>45596</v>
      </c>
      <c r="G203" s="22">
        <v>45518</v>
      </c>
      <c r="H203" s="23">
        <v>16927.240000000002</v>
      </c>
      <c r="I203" s="23" t="s">
        <v>42</v>
      </c>
    </row>
    <row r="204" spans="1:9" ht="41.25" customHeight="1">
      <c r="A204" s="6" t="s">
        <v>252</v>
      </c>
      <c r="B204" s="13" t="str">
        <f t="shared" si="3"/>
        <v>ORD81783</v>
      </c>
      <c r="C204" s="1" t="s">
        <v>28</v>
      </c>
      <c r="D204" s="28"/>
      <c r="E204" s="21" t="s">
        <v>49</v>
      </c>
      <c r="F204" s="22">
        <v>45496</v>
      </c>
      <c r="G204" s="22">
        <v>45414</v>
      </c>
      <c r="H204" s="23">
        <v>31551.19</v>
      </c>
      <c r="I204" s="23" t="s">
        <v>42</v>
      </c>
    </row>
    <row r="205" spans="1:9" ht="41.25" customHeight="1">
      <c r="A205" s="6" t="s">
        <v>253</v>
      </c>
      <c r="B205" s="13" t="str">
        <f>"ORD" &amp; TEXT(RIGHT(B204,5) +1, "00000")</f>
        <v>ORD81784</v>
      </c>
      <c r="C205" s="1" t="s">
        <v>24</v>
      </c>
      <c r="D205" s="28"/>
      <c r="E205" s="21" t="s">
        <v>44</v>
      </c>
      <c r="F205" s="22">
        <v>45317</v>
      </c>
      <c r="G205" s="22">
        <v>45513</v>
      </c>
      <c r="H205" s="23">
        <v>30337.43</v>
      </c>
      <c r="I205" s="23" t="s">
        <v>47</v>
      </c>
    </row>
    <row r="206" spans="1:9" ht="41.25" customHeight="1">
      <c r="A206" s="6" t="s">
        <v>254</v>
      </c>
      <c r="B206" s="13" t="str">
        <f>"ORD" &amp; TEXT(RIGHT(B205,5) +1, "00000")</f>
        <v>ORD81785</v>
      </c>
      <c r="C206" s="1" t="s">
        <v>30</v>
      </c>
      <c r="D206" s="28"/>
      <c r="E206" s="21" t="s">
        <v>49</v>
      </c>
      <c r="F206" s="22">
        <v>45287</v>
      </c>
      <c r="G206" s="22">
        <v>45404</v>
      </c>
      <c r="H206" s="23">
        <v>10593.8</v>
      </c>
      <c r="I206" s="23" t="s">
        <v>50</v>
      </c>
    </row>
    <row r="207" spans="1:9" ht="41.25" customHeight="1">
      <c r="A207" s="6" t="s">
        <v>255</v>
      </c>
      <c r="B207" s="13" t="str">
        <f t="shared" si="3"/>
        <v>ORD81786</v>
      </c>
      <c r="C207" s="1" t="s">
        <v>28</v>
      </c>
      <c r="D207" s="28"/>
      <c r="E207" s="21" t="s">
        <v>41</v>
      </c>
      <c r="F207" s="22">
        <v>45569</v>
      </c>
      <c r="G207" s="22">
        <v>45575</v>
      </c>
      <c r="H207" s="23">
        <v>28394.06</v>
      </c>
      <c r="I207" s="23" t="s">
        <v>47</v>
      </c>
    </row>
    <row r="208" spans="1:9" ht="41.25" customHeight="1">
      <c r="A208" s="6" t="s">
        <v>256</v>
      </c>
      <c r="B208" s="13" t="str">
        <f t="shared" si="3"/>
        <v>ORD81787</v>
      </c>
      <c r="C208" s="1" t="s">
        <v>18</v>
      </c>
      <c r="D208" s="28"/>
      <c r="E208" s="21" t="s">
        <v>46</v>
      </c>
      <c r="F208" s="22">
        <v>45473</v>
      </c>
      <c r="G208" s="22">
        <v>45612</v>
      </c>
      <c r="H208" s="23">
        <v>3450.5</v>
      </c>
      <c r="I208" s="23" t="s">
        <v>42</v>
      </c>
    </row>
    <row r="209" spans="1:9" ht="41.25" customHeight="1">
      <c r="A209" s="6" t="s">
        <v>257</v>
      </c>
      <c r="B209" s="13" t="str">
        <f t="shared" si="3"/>
        <v>ORD81788</v>
      </c>
      <c r="C209" s="1" t="s">
        <v>22</v>
      </c>
      <c r="D209" s="28"/>
      <c r="E209" s="21" t="s">
        <v>44</v>
      </c>
      <c r="F209" s="22">
        <v>45580</v>
      </c>
      <c r="G209" s="22">
        <v>45401</v>
      </c>
      <c r="H209" s="23">
        <v>1123.98</v>
      </c>
      <c r="I209" s="23" t="s">
        <v>50</v>
      </c>
    </row>
    <row r="210" spans="1:9" ht="41.25" customHeight="1">
      <c r="A210" s="6" t="s">
        <v>258</v>
      </c>
      <c r="B210" s="13" t="str">
        <f>"ORD" &amp; TEXT(RIGHT(B209,5) +1, "00000")</f>
        <v>ORD81789</v>
      </c>
      <c r="C210" s="1" t="s">
        <v>16</v>
      </c>
      <c r="D210" s="28"/>
      <c r="E210" s="21" t="s">
        <v>44</v>
      </c>
      <c r="F210" s="22">
        <v>45521</v>
      </c>
      <c r="G210" s="22">
        <v>45442</v>
      </c>
      <c r="H210" s="23">
        <v>29496.639999999999</v>
      </c>
      <c r="I210" s="23" t="s">
        <v>42</v>
      </c>
    </row>
    <row r="211" spans="1:9" ht="41.25" customHeight="1">
      <c r="A211" s="6" t="s">
        <v>259</v>
      </c>
      <c r="B211" s="13" t="str">
        <f t="shared" si="3"/>
        <v>ORD81790</v>
      </c>
      <c r="C211" s="1" t="s">
        <v>30</v>
      </c>
      <c r="D211" s="28"/>
      <c r="E211" s="21" t="s">
        <v>44</v>
      </c>
      <c r="F211" s="22">
        <v>45599</v>
      </c>
      <c r="G211" s="22">
        <v>45355</v>
      </c>
      <c r="H211" s="23">
        <v>11157.57</v>
      </c>
      <c r="I211" s="23" t="s">
        <v>42</v>
      </c>
    </row>
    <row r="212" spans="1:9" ht="41.25" customHeight="1">
      <c r="A212" s="6" t="s">
        <v>260</v>
      </c>
      <c r="B212" s="13" t="str">
        <f t="shared" si="3"/>
        <v>ORD81791</v>
      </c>
      <c r="C212" s="1" t="s">
        <v>18</v>
      </c>
      <c r="D212" s="28"/>
      <c r="E212" s="21" t="s">
        <v>46</v>
      </c>
      <c r="F212" s="22">
        <v>45371</v>
      </c>
      <c r="G212" s="22">
        <v>45630</v>
      </c>
      <c r="H212" s="23">
        <v>39943.21</v>
      </c>
      <c r="I212" s="23" t="s">
        <v>47</v>
      </c>
    </row>
    <row r="213" spans="1:9" ht="41.25" customHeight="1">
      <c r="A213" s="6" t="s">
        <v>261</v>
      </c>
      <c r="B213" s="13" t="str">
        <f t="shared" si="3"/>
        <v>ORD81792</v>
      </c>
      <c r="C213" s="1" t="s">
        <v>18</v>
      </c>
      <c r="D213" s="28"/>
      <c r="E213" s="21" t="s">
        <v>44</v>
      </c>
      <c r="F213" s="22">
        <v>45359</v>
      </c>
      <c r="G213" s="22">
        <v>45332</v>
      </c>
      <c r="H213" s="23">
        <v>29970.99</v>
      </c>
      <c r="I213" s="23" t="s">
        <v>50</v>
      </c>
    </row>
    <row r="214" spans="1:9" ht="41.25" customHeight="1">
      <c r="A214" s="6" t="s">
        <v>262</v>
      </c>
      <c r="B214" s="13" t="str">
        <f t="shared" si="3"/>
        <v>ORD81793</v>
      </c>
      <c r="C214" s="1" t="s">
        <v>18</v>
      </c>
      <c r="D214" s="28"/>
      <c r="E214" s="21" t="s">
        <v>41</v>
      </c>
      <c r="F214" s="22">
        <v>45314</v>
      </c>
      <c r="G214" s="22">
        <v>45398</v>
      </c>
      <c r="H214" s="23">
        <v>2044.96</v>
      </c>
      <c r="I214" s="23" t="s">
        <v>47</v>
      </c>
    </row>
    <row r="215" spans="1:9" ht="41.25" customHeight="1">
      <c r="A215" s="6" t="s">
        <v>263</v>
      </c>
      <c r="B215" s="13" t="str">
        <f t="shared" si="3"/>
        <v>ORD81794</v>
      </c>
      <c r="C215" s="1" t="s">
        <v>10</v>
      </c>
      <c r="D215" s="28"/>
      <c r="E215" s="21" t="s">
        <v>44</v>
      </c>
      <c r="F215" s="22">
        <v>45600</v>
      </c>
      <c r="G215" s="22">
        <v>45294</v>
      </c>
      <c r="H215" s="23">
        <v>20494.05</v>
      </c>
      <c r="I215" s="23" t="s">
        <v>47</v>
      </c>
    </row>
    <row r="216" spans="1:9" ht="41.25" customHeight="1">
      <c r="A216" s="6" t="s">
        <v>264</v>
      </c>
      <c r="B216" s="13" t="str">
        <f t="shared" si="3"/>
        <v>ORD81795</v>
      </c>
      <c r="C216" s="1" t="s">
        <v>10</v>
      </c>
      <c r="D216" s="28"/>
      <c r="E216" s="21" t="s">
        <v>49</v>
      </c>
      <c r="F216" s="22">
        <v>45383</v>
      </c>
      <c r="G216" s="22">
        <v>45484</v>
      </c>
      <c r="H216" s="23">
        <v>39458.76</v>
      </c>
      <c r="I216" s="23" t="s">
        <v>47</v>
      </c>
    </row>
    <row r="217" spans="1:9" ht="41.25" customHeight="1">
      <c r="A217" s="6" t="s">
        <v>265</v>
      </c>
      <c r="B217" s="13" t="str">
        <f t="shared" si="3"/>
        <v>ORD81796</v>
      </c>
      <c r="C217" s="1" t="s">
        <v>30</v>
      </c>
      <c r="D217" s="28"/>
      <c r="E217" s="21" t="s">
        <v>49</v>
      </c>
      <c r="F217" s="22">
        <v>45301</v>
      </c>
      <c r="G217" s="22">
        <v>45330</v>
      </c>
      <c r="H217" s="23">
        <v>7032.89</v>
      </c>
      <c r="I217" s="23" t="s">
        <v>50</v>
      </c>
    </row>
    <row r="218" spans="1:9" ht="41.25" customHeight="1">
      <c r="A218" s="6" t="s">
        <v>266</v>
      </c>
      <c r="B218" s="13" t="str">
        <f t="shared" si="3"/>
        <v>ORD81797</v>
      </c>
      <c r="C218" s="1" t="s">
        <v>30</v>
      </c>
      <c r="D218" s="28"/>
      <c r="E218" s="21" t="s">
        <v>41</v>
      </c>
      <c r="F218" s="22">
        <v>45528</v>
      </c>
      <c r="G218" s="22">
        <v>45436</v>
      </c>
      <c r="H218" s="23">
        <v>35081.46</v>
      </c>
      <c r="I218" s="23" t="s">
        <v>42</v>
      </c>
    </row>
    <row r="219" spans="1:9" ht="41.25" customHeight="1">
      <c r="A219" s="6" t="s">
        <v>267</v>
      </c>
      <c r="B219" s="13" t="str">
        <f t="shared" si="3"/>
        <v>ORD81798</v>
      </c>
      <c r="C219" s="1" t="s">
        <v>12</v>
      </c>
      <c r="D219" s="28"/>
      <c r="E219" s="21" t="s">
        <v>46</v>
      </c>
      <c r="F219" s="22">
        <v>45382</v>
      </c>
      <c r="G219" s="22">
        <v>45503</v>
      </c>
      <c r="H219" s="23">
        <v>48705</v>
      </c>
      <c r="I219" s="23" t="s">
        <v>42</v>
      </c>
    </row>
    <row r="220" spans="1:9" ht="41.25" customHeight="1">
      <c r="A220" s="6" t="s">
        <v>268</v>
      </c>
      <c r="B220" s="13" t="str">
        <f t="shared" si="3"/>
        <v>ORD81799</v>
      </c>
      <c r="C220" s="1" t="s">
        <v>10</v>
      </c>
      <c r="D220" s="28"/>
      <c r="E220" s="21" t="s">
        <v>41</v>
      </c>
      <c r="F220" s="22">
        <v>45492</v>
      </c>
      <c r="G220" s="22">
        <v>45481</v>
      </c>
      <c r="H220" s="23">
        <v>37552.53</v>
      </c>
      <c r="I220" s="23" t="s">
        <v>47</v>
      </c>
    </row>
    <row r="221" spans="1:9" ht="41.25" customHeight="1">
      <c r="A221" s="6" t="s">
        <v>269</v>
      </c>
      <c r="B221" s="13" t="str">
        <f t="shared" si="3"/>
        <v>ORD81800</v>
      </c>
      <c r="C221" s="1" t="s">
        <v>20</v>
      </c>
      <c r="D221" s="28"/>
      <c r="E221" s="21" t="s">
        <v>41</v>
      </c>
      <c r="F221" s="22">
        <v>45278</v>
      </c>
      <c r="G221" s="22">
        <v>45284</v>
      </c>
      <c r="H221" s="23">
        <v>33441.71</v>
      </c>
      <c r="I221" s="23" t="s">
        <v>47</v>
      </c>
    </row>
    <row r="222" spans="1:9" ht="41.25" customHeight="1">
      <c r="A222" s="6" t="s">
        <v>270</v>
      </c>
      <c r="B222" s="13" t="str">
        <f t="shared" si="3"/>
        <v>ORD81801</v>
      </c>
      <c r="C222" s="1" t="s">
        <v>12</v>
      </c>
      <c r="D222" s="28"/>
      <c r="E222" s="21" t="s">
        <v>41</v>
      </c>
      <c r="F222" s="22">
        <v>45475</v>
      </c>
      <c r="G222" s="22">
        <v>45388</v>
      </c>
      <c r="H222" s="23">
        <v>23087.31</v>
      </c>
      <c r="I222" s="23" t="s">
        <v>50</v>
      </c>
    </row>
    <row r="223" spans="1:9" ht="41.25" customHeight="1">
      <c r="A223" s="6" t="s">
        <v>271</v>
      </c>
      <c r="B223" s="13" t="str">
        <f t="shared" si="3"/>
        <v>ORD81802</v>
      </c>
      <c r="C223" s="1" t="s">
        <v>16</v>
      </c>
      <c r="D223" s="28"/>
      <c r="E223" s="21" t="s">
        <v>49</v>
      </c>
      <c r="F223" s="22">
        <v>45469</v>
      </c>
      <c r="G223" s="22">
        <v>45468</v>
      </c>
      <c r="H223" s="23">
        <v>40029.57</v>
      </c>
      <c r="I223" s="23" t="s">
        <v>47</v>
      </c>
    </row>
    <row r="224" spans="1:9" ht="41.25" customHeight="1">
      <c r="A224" s="6" t="s">
        <v>272</v>
      </c>
      <c r="B224" s="13" t="str">
        <f t="shared" si="3"/>
        <v>ORD81803</v>
      </c>
      <c r="C224" s="1" t="s">
        <v>14</v>
      </c>
      <c r="D224" s="28"/>
      <c r="E224" s="21" t="s">
        <v>41</v>
      </c>
      <c r="F224" s="22">
        <v>45491</v>
      </c>
      <c r="G224" s="22">
        <v>45513</v>
      </c>
      <c r="H224" s="23">
        <v>20100.490000000002</v>
      </c>
      <c r="I224" s="23" t="s">
        <v>42</v>
      </c>
    </row>
    <row r="225" spans="1:9" ht="41.25" customHeight="1">
      <c r="A225" s="6" t="s">
        <v>273</v>
      </c>
      <c r="B225" s="13" t="str">
        <f t="shared" si="3"/>
        <v>ORD81804</v>
      </c>
      <c r="C225" s="1" t="s">
        <v>26</v>
      </c>
      <c r="D225" s="28"/>
      <c r="E225" s="21" t="s">
        <v>41</v>
      </c>
      <c r="F225" s="22">
        <v>45481</v>
      </c>
      <c r="G225" s="22">
        <v>45608</v>
      </c>
      <c r="H225" s="23">
        <v>10465.24</v>
      </c>
      <c r="I225" s="23" t="s">
        <v>50</v>
      </c>
    </row>
    <row r="226" spans="1:9" ht="41.25" customHeight="1">
      <c r="A226" s="6" t="s">
        <v>274</v>
      </c>
      <c r="B226" s="13" t="str">
        <f t="shared" si="3"/>
        <v>ORD81805</v>
      </c>
      <c r="C226" s="1" t="s">
        <v>20</v>
      </c>
      <c r="D226" s="28"/>
      <c r="E226" s="21" t="s">
        <v>46</v>
      </c>
      <c r="F226" s="22">
        <v>45300</v>
      </c>
      <c r="G226" s="22">
        <v>45292</v>
      </c>
      <c r="H226" s="23">
        <v>43107.43</v>
      </c>
      <c r="I226" s="23" t="s">
        <v>47</v>
      </c>
    </row>
    <row r="227" spans="1:9" ht="41.25" customHeight="1">
      <c r="A227" s="6" t="s">
        <v>275</v>
      </c>
      <c r="B227" s="13" t="str">
        <f t="shared" si="3"/>
        <v>ORD81806</v>
      </c>
      <c r="C227" s="1" t="s">
        <v>24</v>
      </c>
      <c r="D227" s="28"/>
      <c r="E227" s="21" t="s">
        <v>49</v>
      </c>
      <c r="F227" s="22">
        <v>45304</v>
      </c>
      <c r="G227" s="22">
        <v>45451</v>
      </c>
      <c r="H227" s="23">
        <v>23664.97</v>
      </c>
      <c r="I227" s="23" t="s">
        <v>42</v>
      </c>
    </row>
    <row r="228" spans="1:9" ht="41.25" customHeight="1">
      <c r="A228" s="6" t="s">
        <v>276</v>
      </c>
      <c r="B228" s="13" t="str">
        <f t="shared" si="3"/>
        <v>ORD81807</v>
      </c>
      <c r="C228" s="1" t="s">
        <v>22</v>
      </c>
      <c r="D228" s="28"/>
      <c r="E228" s="21" t="s">
        <v>46</v>
      </c>
      <c r="F228" s="22">
        <v>45410</v>
      </c>
      <c r="G228" s="22">
        <v>45589</v>
      </c>
      <c r="H228" s="23">
        <v>19541.46</v>
      </c>
      <c r="I228" s="23" t="s">
        <v>50</v>
      </c>
    </row>
    <row r="229" spans="1:9" ht="41.25" customHeight="1">
      <c r="A229" s="6" t="s">
        <v>277</v>
      </c>
      <c r="B229" s="13" t="str">
        <f t="shared" si="3"/>
        <v>ORD81808</v>
      </c>
      <c r="C229" s="1" t="s">
        <v>28</v>
      </c>
      <c r="D229" s="28"/>
      <c r="E229" s="21" t="s">
        <v>44</v>
      </c>
      <c r="F229" s="22">
        <v>45310</v>
      </c>
      <c r="G229" s="22">
        <v>45569</v>
      </c>
      <c r="H229" s="23">
        <v>38927.42</v>
      </c>
      <c r="I229" s="23" t="s">
        <v>47</v>
      </c>
    </row>
    <row r="230" spans="1:9" ht="41.25" customHeight="1">
      <c r="A230" s="6" t="s">
        <v>278</v>
      </c>
      <c r="B230" s="13" t="str">
        <f t="shared" si="3"/>
        <v>ORD81809</v>
      </c>
      <c r="C230" s="1" t="s">
        <v>18</v>
      </c>
      <c r="D230" s="28"/>
      <c r="E230" s="21" t="s">
        <v>46</v>
      </c>
      <c r="F230" s="22">
        <v>45539</v>
      </c>
      <c r="G230" s="22">
        <v>45482</v>
      </c>
      <c r="H230" s="23">
        <v>13149.99</v>
      </c>
      <c r="I230" s="23" t="s">
        <v>42</v>
      </c>
    </row>
    <row r="231" spans="1:9" ht="41.25" customHeight="1">
      <c r="A231" s="6" t="s">
        <v>279</v>
      </c>
      <c r="B231" s="13" t="str">
        <f t="shared" si="3"/>
        <v>ORD81810</v>
      </c>
      <c r="C231" s="1" t="s">
        <v>16</v>
      </c>
      <c r="D231" s="28"/>
      <c r="E231" s="21" t="s">
        <v>49</v>
      </c>
      <c r="F231" s="22">
        <v>45568</v>
      </c>
      <c r="G231" s="22">
        <v>45602</v>
      </c>
      <c r="H231" s="23">
        <v>2707.77</v>
      </c>
      <c r="I231" s="23" t="s">
        <v>47</v>
      </c>
    </row>
    <row r="232" spans="1:9" ht="41.25" customHeight="1">
      <c r="A232" s="6" t="s">
        <v>280</v>
      </c>
      <c r="B232" s="13" t="str">
        <f t="shared" si="3"/>
        <v>ORD81811</v>
      </c>
      <c r="C232" s="1" t="s">
        <v>18</v>
      </c>
      <c r="D232" s="28"/>
      <c r="E232" s="21" t="s">
        <v>41</v>
      </c>
      <c r="F232" s="22">
        <v>45577</v>
      </c>
      <c r="G232" s="22">
        <v>45293</v>
      </c>
      <c r="H232" s="23">
        <v>46910.92</v>
      </c>
      <c r="I232" s="23" t="s">
        <v>50</v>
      </c>
    </row>
    <row r="233" spans="1:9" ht="41.25" customHeight="1">
      <c r="A233" s="6" t="s">
        <v>281</v>
      </c>
      <c r="B233" s="13" t="str">
        <f t="shared" si="3"/>
        <v>ORD81812</v>
      </c>
      <c r="C233" s="1" t="s">
        <v>12</v>
      </c>
      <c r="D233" s="28"/>
      <c r="E233" s="21" t="s">
        <v>44</v>
      </c>
      <c r="F233" s="22">
        <v>45532</v>
      </c>
      <c r="G233" s="22">
        <v>45590</v>
      </c>
      <c r="H233" s="23">
        <v>1547.91</v>
      </c>
      <c r="I233" s="23" t="s">
        <v>42</v>
      </c>
    </row>
    <row r="234" spans="1:9" ht="41.25" customHeight="1">
      <c r="A234" s="6" t="s">
        <v>282</v>
      </c>
      <c r="B234" s="13" t="str">
        <f t="shared" si="3"/>
        <v>ORD81813</v>
      </c>
      <c r="C234" s="1" t="s">
        <v>12</v>
      </c>
      <c r="D234" s="28"/>
      <c r="E234" s="21" t="s">
        <v>49</v>
      </c>
      <c r="F234" s="22">
        <v>45350</v>
      </c>
      <c r="G234" s="22">
        <v>45483</v>
      </c>
      <c r="H234" s="23">
        <v>23640.67</v>
      </c>
      <c r="I234" s="23" t="s">
        <v>42</v>
      </c>
    </row>
    <row r="235" spans="1:9" ht="41.25" customHeight="1">
      <c r="A235" s="6" t="s">
        <v>283</v>
      </c>
      <c r="B235" s="13" t="str">
        <f t="shared" si="3"/>
        <v>ORD81814</v>
      </c>
      <c r="C235" s="1" t="s">
        <v>12</v>
      </c>
      <c r="D235" s="28"/>
      <c r="E235" s="21" t="s">
        <v>46</v>
      </c>
      <c r="F235" s="22">
        <v>45444</v>
      </c>
      <c r="G235" s="22">
        <v>45370</v>
      </c>
      <c r="H235" s="23">
        <v>48468.54</v>
      </c>
      <c r="I235" s="23" t="s">
        <v>50</v>
      </c>
    </row>
    <row r="236" spans="1:9" ht="41.25" customHeight="1">
      <c r="A236" s="6" t="s">
        <v>284</v>
      </c>
      <c r="B236" s="13" t="str">
        <f t="shared" si="3"/>
        <v>ORD81815</v>
      </c>
      <c r="C236" s="1" t="s">
        <v>12</v>
      </c>
      <c r="D236" s="28"/>
      <c r="E236" s="21" t="s">
        <v>49</v>
      </c>
      <c r="F236" s="22">
        <v>45475</v>
      </c>
      <c r="G236" s="22">
        <v>45446</v>
      </c>
      <c r="H236" s="23">
        <v>39451.01</v>
      </c>
      <c r="I236" s="23" t="s">
        <v>50</v>
      </c>
    </row>
    <row r="237" spans="1:9" ht="41.25" customHeight="1">
      <c r="A237" s="6" t="s">
        <v>285</v>
      </c>
      <c r="B237" s="13" t="str">
        <f t="shared" si="3"/>
        <v>ORD81816</v>
      </c>
      <c r="C237" s="1" t="s">
        <v>14</v>
      </c>
      <c r="D237" s="28"/>
      <c r="E237" s="21" t="s">
        <v>49</v>
      </c>
      <c r="F237" s="22">
        <v>45596</v>
      </c>
      <c r="G237" s="22">
        <v>45348</v>
      </c>
      <c r="H237" s="23">
        <v>43618.5</v>
      </c>
      <c r="I237" s="23" t="s">
        <v>47</v>
      </c>
    </row>
    <row r="238" spans="1:9" ht="41.25" customHeight="1">
      <c r="A238" s="6" t="s">
        <v>286</v>
      </c>
      <c r="B238" s="13" t="str">
        <f>"ORD" &amp; TEXT(RIGHT(B237,5) +1, "00000")</f>
        <v>ORD81817</v>
      </c>
      <c r="C238" s="1" t="s">
        <v>22</v>
      </c>
      <c r="D238" s="28"/>
      <c r="E238" s="21" t="s">
        <v>41</v>
      </c>
      <c r="F238" s="22">
        <v>45637</v>
      </c>
      <c r="G238" s="22">
        <v>45594</v>
      </c>
      <c r="H238" s="23">
        <v>41926.089999999997</v>
      </c>
      <c r="I238" s="23" t="s">
        <v>50</v>
      </c>
    </row>
    <row r="239" spans="1:9" ht="41.25" customHeight="1">
      <c r="A239" s="6" t="s">
        <v>287</v>
      </c>
      <c r="B239" s="13" t="str">
        <f t="shared" si="3"/>
        <v>ORD81818</v>
      </c>
      <c r="C239" s="1" t="s">
        <v>10</v>
      </c>
      <c r="D239" s="28"/>
      <c r="E239" s="21" t="s">
        <v>41</v>
      </c>
      <c r="F239" s="22">
        <v>45516</v>
      </c>
      <c r="G239" s="22">
        <v>45327</v>
      </c>
      <c r="H239" s="23">
        <v>10334.26</v>
      </c>
      <c r="I239" s="23" t="s">
        <v>47</v>
      </c>
    </row>
    <row r="240" spans="1:9" ht="41.25" customHeight="1">
      <c r="A240" s="6" t="s">
        <v>288</v>
      </c>
      <c r="B240" s="13" t="str">
        <f>"ORD" &amp; TEXT(RIGHT(B239,5) +1, "00000")</f>
        <v>ORD81819</v>
      </c>
      <c r="C240" s="1" t="s">
        <v>14</v>
      </c>
      <c r="D240" s="28"/>
      <c r="E240" s="21" t="s">
        <v>41</v>
      </c>
      <c r="F240" s="22">
        <v>45357</v>
      </c>
      <c r="G240" s="22">
        <v>45342</v>
      </c>
      <c r="H240" s="23">
        <v>34002.75</v>
      </c>
      <c r="I240" s="23" t="s">
        <v>47</v>
      </c>
    </row>
    <row r="241" spans="1:9" ht="41.25" customHeight="1">
      <c r="A241" s="6" t="s">
        <v>289</v>
      </c>
      <c r="B241" s="13" t="str">
        <f>"ORD" &amp; TEXT(RIGHT(B240,5) +1, "00000")</f>
        <v>ORD81820</v>
      </c>
      <c r="C241" s="1" t="s">
        <v>30</v>
      </c>
      <c r="D241" s="28"/>
      <c r="E241" s="21" t="s">
        <v>41</v>
      </c>
      <c r="F241" s="22">
        <v>45409</v>
      </c>
      <c r="G241" s="22">
        <v>45447</v>
      </c>
      <c r="H241" s="23">
        <v>36429.85</v>
      </c>
      <c r="I241" s="23" t="s">
        <v>42</v>
      </c>
    </row>
    <row r="242" spans="1:9" ht="41.25" customHeight="1">
      <c r="A242" s="6" t="s">
        <v>290</v>
      </c>
      <c r="B242" s="13" t="str">
        <f t="shared" si="3"/>
        <v>ORD81821</v>
      </c>
      <c r="C242" s="1" t="s">
        <v>22</v>
      </c>
      <c r="D242" s="28"/>
      <c r="E242" s="21" t="s">
        <v>49</v>
      </c>
      <c r="F242" s="22">
        <v>45592</v>
      </c>
      <c r="G242" s="22">
        <v>45317</v>
      </c>
      <c r="H242" s="23">
        <v>25075.96</v>
      </c>
      <c r="I242" s="23" t="s">
        <v>50</v>
      </c>
    </row>
    <row r="243" spans="1:9" ht="41.25" customHeight="1">
      <c r="A243" s="6" t="s">
        <v>291</v>
      </c>
      <c r="B243" s="13" t="str">
        <f t="shared" si="3"/>
        <v>ORD81822</v>
      </c>
      <c r="C243" s="1" t="s">
        <v>18</v>
      </c>
      <c r="D243" s="28"/>
      <c r="E243" s="21" t="s">
        <v>44</v>
      </c>
      <c r="F243" s="22">
        <v>45291</v>
      </c>
      <c r="G243" s="22">
        <v>45294</v>
      </c>
      <c r="H243" s="23">
        <v>24020.69</v>
      </c>
      <c r="I243" s="23" t="s">
        <v>50</v>
      </c>
    </row>
    <row r="244" spans="1:9" ht="41.25" customHeight="1">
      <c r="A244" s="6" t="s">
        <v>292</v>
      </c>
      <c r="B244" s="13" t="str">
        <f t="shared" si="3"/>
        <v>ORD81823</v>
      </c>
      <c r="C244" s="1" t="s">
        <v>24</v>
      </c>
      <c r="D244" s="28"/>
      <c r="E244" s="21" t="s">
        <v>46</v>
      </c>
      <c r="F244" s="22">
        <v>45330</v>
      </c>
      <c r="G244" s="22">
        <v>45484</v>
      </c>
      <c r="H244" s="23">
        <v>19705.830000000002</v>
      </c>
      <c r="I244" s="23" t="s">
        <v>50</v>
      </c>
    </row>
    <row r="245" spans="1:9" ht="41.25" customHeight="1">
      <c r="A245" s="6" t="s">
        <v>293</v>
      </c>
      <c r="B245" s="13" t="str">
        <f t="shared" si="3"/>
        <v>ORD81824</v>
      </c>
      <c r="C245" s="1" t="s">
        <v>12</v>
      </c>
      <c r="D245" s="28"/>
      <c r="E245" s="21" t="s">
        <v>44</v>
      </c>
      <c r="F245" s="22">
        <v>45575</v>
      </c>
      <c r="G245" s="22">
        <v>45417</v>
      </c>
      <c r="H245" s="23">
        <v>14115.1</v>
      </c>
      <c r="I245" s="23" t="s">
        <v>50</v>
      </c>
    </row>
    <row r="246" spans="1:9" ht="41.25" customHeight="1">
      <c r="A246" s="6" t="s">
        <v>294</v>
      </c>
      <c r="B246" s="13" t="str">
        <f t="shared" si="3"/>
        <v>ORD81825</v>
      </c>
      <c r="C246" s="1" t="s">
        <v>20</v>
      </c>
      <c r="D246" s="28"/>
      <c r="E246" s="21" t="s">
        <v>44</v>
      </c>
      <c r="F246" s="22">
        <v>45477</v>
      </c>
      <c r="G246" s="22">
        <v>45538</v>
      </c>
      <c r="H246" s="23">
        <v>40792.449999999997</v>
      </c>
      <c r="I246" s="23" t="s">
        <v>47</v>
      </c>
    </row>
    <row r="247" spans="1:9" ht="41.25" customHeight="1">
      <c r="A247" s="6" t="s">
        <v>295</v>
      </c>
      <c r="B247" s="13" t="str">
        <f t="shared" si="3"/>
        <v>ORD81826</v>
      </c>
      <c r="C247" s="1" t="s">
        <v>28</v>
      </c>
      <c r="D247" s="28"/>
      <c r="E247" s="21" t="s">
        <v>49</v>
      </c>
      <c r="F247" s="22">
        <v>45361</v>
      </c>
      <c r="G247" s="22">
        <v>45515</v>
      </c>
      <c r="H247" s="23">
        <v>6599.8</v>
      </c>
      <c r="I247" s="23" t="s">
        <v>50</v>
      </c>
    </row>
    <row r="248" spans="1:9" ht="41.25" customHeight="1">
      <c r="A248" s="6" t="s">
        <v>296</v>
      </c>
      <c r="B248" s="13" t="str">
        <f t="shared" si="3"/>
        <v>ORD81827</v>
      </c>
      <c r="C248" s="1" t="s">
        <v>28</v>
      </c>
      <c r="D248" s="28"/>
      <c r="E248" s="21" t="s">
        <v>44</v>
      </c>
      <c r="F248" s="22">
        <v>45543</v>
      </c>
      <c r="G248" s="22">
        <v>45630</v>
      </c>
      <c r="H248" s="23">
        <v>3337.35</v>
      </c>
      <c r="I248" s="23" t="s">
        <v>47</v>
      </c>
    </row>
    <row r="249" spans="1:9" ht="41.25" customHeight="1">
      <c r="A249" s="6" t="s">
        <v>297</v>
      </c>
      <c r="B249" s="13" t="str">
        <f t="shared" si="3"/>
        <v>ORD81828</v>
      </c>
      <c r="C249" s="1" t="s">
        <v>28</v>
      </c>
      <c r="D249" s="28"/>
      <c r="E249" s="21" t="s">
        <v>44</v>
      </c>
      <c r="F249" s="22">
        <v>45524</v>
      </c>
      <c r="G249" s="22">
        <v>45324</v>
      </c>
      <c r="H249" s="23">
        <v>5893.3</v>
      </c>
      <c r="I249" s="23" t="s">
        <v>47</v>
      </c>
    </row>
    <row r="250" spans="1:9" ht="41.25" customHeight="1">
      <c r="A250" s="6" t="s">
        <v>298</v>
      </c>
      <c r="B250" s="13" t="str">
        <f t="shared" si="3"/>
        <v>ORD81829</v>
      </c>
      <c r="C250" s="1" t="s">
        <v>18</v>
      </c>
      <c r="D250" s="28"/>
      <c r="E250" s="21" t="s">
        <v>41</v>
      </c>
      <c r="F250" s="22">
        <v>45513</v>
      </c>
      <c r="G250" s="22">
        <v>45642</v>
      </c>
      <c r="H250" s="23">
        <v>12155.95</v>
      </c>
      <c r="I250" s="23" t="s">
        <v>42</v>
      </c>
    </row>
    <row r="251" spans="1:9" ht="41.25" customHeight="1">
      <c r="A251" s="6" t="s">
        <v>299</v>
      </c>
      <c r="B251" s="13" t="str">
        <f t="shared" si="3"/>
        <v>ORD81830</v>
      </c>
      <c r="C251" s="1" t="s">
        <v>22</v>
      </c>
      <c r="D251" s="28"/>
      <c r="E251" s="21" t="s">
        <v>41</v>
      </c>
      <c r="F251" s="22">
        <v>45563</v>
      </c>
      <c r="G251" s="22">
        <v>45312</v>
      </c>
      <c r="H251" s="23">
        <v>32951.730000000003</v>
      </c>
      <c r="I251" s="23" t="s">
        <v>47</v>
      </c>
    </row>
  </sheetData>
  <conditionalFormatting sqref="A1:A1048576">
    <cfRule type="duplicateValues" dxfId="5" priority="2"/>
  </conditionalFormatting>
  <conditionalFormatting sqref="D3 B1:B1048576 D5:D1048576 D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F5F6-290C-46C3-8E27-3F9476E93DD0}">
  <dimension ref="A1:F251"/>
  <sheetViews>
    <sheetView workbookViewId="0">
      <selection activeCell="E1" sqref="E1:E1048576"/>
    </sheetView>
  </sheetViews>
  <sheetFormatPr defaultColWidth="28.85546875" defaultRowHeight="48.75" customHeight="1"/>
  <sheetData>
    <row r="1" spans="1:6" ht="48.75" customHeight="1">
      <c r="A1" s="10" t="s">
        <v>33</v>
      </c>
      <c r="B1" s="16" t="s">
        <v>34</v>
      </c>
      <c r="C1" s="5" t="s">
        <v>3</v>
      </c>
      <c r="D1" s="5" t="s">
        <v>38</v>
      </c>
      <c r="E1" s="5" t="s">
        <v>302</v>
      </c>
      <c r="F1" s="26" t="s">
        <v>37</v>
      </c>
    </row>
    <row r="2" spans="1:6" ht="48.75" customHeight="1">
      <c r="A2" s="13" t="s">
        <v>40</v>
      </c>
      <c r="B2" s="21" t="s">
        <v>41</v>
      </c>
      <c r="C2" s="6" t="s">
        <v>7</v>
      </c>
      <c r="D2" s="6" t="s">
        <v>303</v>
      </c>
      <c r="E2" s="7">
        <v>45639</v>
      </c>
      <c r="F2" s="25">
        <v>84206.52</v>
      </c>
    </row>
    <row r="3" spans="1:6" ht="48.75" customHeight="1">
      <c r="A3" s="13" t="str">
        <f>"ORD" &amp; TEXT(RIGHT(A2,5) +1, "00000")</f>
        <v>ORD81582</v>
      </c>
      <c r="B3" s="21" t="s">
        <v>44</v>
      </c>
      <c r="C3" s="6" t="s">
        <v>7</v>
      </c>
      <c r="D3" s="6" t="s">
        <v>303</v>
      </c>
      <c r="E3" s="7">
        <v>45311</v>
      </c>
      <c r="F3" s="23">
        <v>8779.4500000000007</v>
      </c>
    </row>
    <row r="4" spans="1:6" ht="48.75" customHeight="1">
      <c r="A4" s="13" t="str">
        <f t="shared" ref="A4:A67" si="0">"ORD" &amp; TEXT(RIGHT(A3,5) +1, "00000")</f>
        <v>ORD81583</v>
      </c>
      <c r="B4" s="21" t="s">
        <v>46</v>
      </c>
      <c r="C4" s="6" t="s">
        <v>7</v>
      </c>
      <c r="D4" s="6" t="s">
        <v>42</v>
      </c>
      <c r="E4" s="7">
        <v>45410</v>
      </c>
      <c r="F4" s="23">
        <v>13874.1</v>
      </c>
    </row>
    <row r="5" spans="1:6" ht="48.75" customHeight="1">
      <c r="A5" s="13" t="str">
        <f t="shared" si="0"/>
        <v>ORD81584</v>
      </c>
      <c r="B5" s="21" t="s">
        <v>49</v>
      </c>
      <c r="C5" s="6" t="s">
        <v>7</v>
      </c>
      <c r="D5" s="6" t="s">
        <v>42</v>
      </c>
      <c r="E5" s="7">
        <v>45537</v>
      </c>
      <c r="F5" s="23">
        <v>44551.33</v>
      </c>
    </row>
    <row r="6" spans="1:6" ht="48.75" customHeight="1">
      <c r="A6" s="13" t="str">
        <f t="shared" si="0"/>
        <v>ORD81585</v>
      </c>
      <c r="B6" s="21" t="s">
        <v>52</v>
      </c>
      <c r="C6" s="6" t="s">
        <v>7</v>
      </c>
      <c r="D6" s="6" t="s">
        <v>42</v>
      </c>
      <c r="E6" s="7">
        <v>45604</v>
      </c>
      <c r="F6" s="23">
        <v>48584.62</v>
      </c>
    </row>
    <row r="7" spans="1:6" ht="48.75" customHeight="1">
      <c r="A7" s="13" t="str">
        <f t="shared" si="0"/>
        <v>ORD81586</v>
      </c>
      <c r="B7" s="21" t="s">
        <v>54</v>
      </c>
      <c r="C7" s="6" t="s">
        <v>7</v>
      </c>
      <c r="D7" s="6" t="s">
        <v>304</v>
      </c>
      <c r="E7" s="7">
        <v>45614</v>
      </c>
      <c r="F7" s="23">
        <v>27444.76</v>
      </c>
    </row>
    <row r="8" spans="1:6" ht="48.75" customHeight="1">
      <c r="A8" s="13" t="str">
        <f t="shared" si="0"/>
        <v>ORD81587</v>
      </c>
      <c r="B8" s="21" t="s">
        <v>41</v>
      </c>
      <c r="C8" s="6" t="s">
        <v>7</v>
      </c>
      <c r="D8" s="6" t="s">
        <v>305</v>
      </c>
      <c r="E8" s="7">
        <v>45636</v>
      </c>
      <c r="F8" s="23">
        <v>27828.71</v>
      </c>
    </row>
    <row r="9" spans="1:6" ht="48.75" customHeight="1">
      <c r="A9" s="13" t="str">
        <f t="shared" si="0"/>
        <v>ORD81588</v>
      </c>
      <c r="B9" s="21" t="s">
        <v>44</v>
      </c>
      <c r="C9" s="6" t="s">
        <v>7</v>
      </c>
      <c r="D9" s="6" t="s">
        <v>42</v>
      </c>
      <c r="E9" s="7">
        <v>45308</v>
      </c>
      <c r="F9" s="23">
        <v>9322.1</v>
      </c>
    </row>
    <row r="10" spans="1:6" ht="48.75" customHeight="1">
      <c r="A10" s="13" t="str">
        <f t="shared" si="0"/>
        <v>ORD81589</v>
      </c>
      <c r="B10" s="21" t="s">
        <v>44</v>
      </c>
      <c r="C10" s="6" t="s">
        <v>7</v>
      </c>
      <c r="D10" s="6" t="s">
        <v>42</v>
      </c>
      <c r="E10" s="7">
        <v>45530</v>
      </c>
      <c r="F10" s="23">
        <v>6258.99</v>
      </c>
    </row>
    <row r="11" spans="1:6" ht="48.75" customHeight="1">
      <c r="A11" s="13" t="str">
        <f t="shared" si="0"/>
        <v>ORD81590</v>
      </c>
      <c r="B11" s="21" t="s">
        <v>49</v>
      </c>
      <c r="C11" s="6" t="s">
        <v>7</v>
      </c>
      <c r="D11" s="6" t="s">
        <v>305</v>
      </c>
      <c r="E11" s="7">
        <v>45439</v>
      </c>
      <c r="F11" s="23">
        <v>4076.09</v>
      </c>
    </row>
    <row r="12" spans="1:6" ht="48.75" customHeight="1">
      <c r="A12" s="13" t="str">
        <f t="shared" si="0"/>
        <v>ORD81591</v>
      </c>
      <c r="B12" s="21" t="s">
        <v>49</v>
      </c>
      <c r="C12" s="6" t="s">
        <v>7</v>
      </c>
      <c r="D12" s="6" t="s">
        <v>42</v>
      </c>
      <c r="E12" s="7">
        <v>45354</v>
      </c>
      <c r="F12" s="23">
        <v>49187.58</v>
      </c>
    </row>
    <row r="13" spans="1:6" ht="48.75" customHeight="1">
      <c r="A13" s="13" t="str">
        <f t="shared" si="0"/>
        <v>ORD81592</v>
      </c>
      <c r="B13" s="21" t="s">
        <v>44</v>
      </c>
      <c r="C13" s="6" t="s">
        <v>7</v>
      </c>
      <c r="D13" s="6" t="s">
        <v>303</v>
      </c>
      <c r="E13" s="7">
        <v>45477</v>
      </c>
      <c r="F13" s="23">
        <v>17859.96</v>
      </c>
    </row>
    <row r="14" spans="1:6" ht="48.75" customHeight="1">
      <c r="A14" s="13" t="str">
        <f t="shared" si="0"/>
        <v>ORD81593</v>
      </c>
      <c r="B14" s="21" t="s">
        <v>44</v>
      </c>
      <c r="C14" s="6" t="s">
        <v>7</v>
      </c>
      <c r="D14" s="6" t="s">
        <v>42</v>
      </c>
      <c r="E14" s="7">
        <v>45523</v>
      </c>
      <c r="F14" s="23">
        <v>23017.01</v>
      </c>
    </row>
    <row r="15" spans="1:6" ht="48.75" customHeight="1">
      <c r="A15" s="13" t="str">
        <f t="shared" si="0"/>
        <v>ORD81594</v>
      </c>
      <c r="B15" s="21" t="s">
        <v>49</v>
      </c>
      <c r="C15" s="6" t="s">
        <v>7</v>
      </c>
      <c r="D15" s="6" t="s">
        <v>303</v>
      </c>
      <c r="E15" s="7">
        <v>45434</v>
      </c>
      <c r="F15" s="23">
        <v>2178.27</v>
      </c>
    </row>
    <row r="16" spans="1:6" ht="48.75" customHeight="1">
      <c r="A16" s="13" t="str">
        <f t="shared" si="0"/>
        <v>ORD81595</v>
      </c>
      <c r="B16" s="21" t="s">
        <v>44</v>
      </c>
      <c r="C16" s="6" t="s">
        <v>7</v>
      </c>
      <c r="D16" s="6" t="s">
        <v>305</v>
      </c>
      <c r="E16" s="7">
        <v>45522</v>
      </c>
      <c r="F16" s="23">
        <v>46669.43</v>
      </c>
    </row>
    <row r="17" spans="1:6" ht="48.75" customHeight="1">
      <c r="A17" s="13" t="str">
        <f>"ORD" &amp; TEXT(RIGHT(A16,5) +1, "00000")</f>
        <v>ORD81596</v>
      </c>
      <c r="B17" s="21" t="s">
        <v>41</v>
      </c>
      <c r="C17" s="6" t="s">
        <v>7</v>
      </c>
      <c r="D17" s="6" t="s">
        <v>42</v>
      </c>
      <c r="E17" s="7">
        <v>45296</v>
      </c>
      <c r="F17" s="23">
        <v>30460.15</v>
      </c>
    </row>
    <row r="18" spans="1:6" ht="48.75" customHeight="1">
      <c r="A18" s="13" t="str">
        <f>"ORD" &amp; TEXT(RIGHT(A17,5) +1, "00000")</f>
        <v>ORD81597</v>
      </c>
      <c r="B18" s="21" t="s">
        <v>46</v>
      </c>
      <c r="C18" s="6" t="s">
        <v>7</v>
      </c>
      <c r="D18" s="6" t="s">
        <v>305</v>
      </c>
      <c r="E18" s="7">
        <v>45626</v>
      </c>
      <c r="F18" s="23">
        <v>35809.019999999997</v>
      </c>
    </row>
    <row r="19" spans="1:6" ht="48.75" customHeight="1">
      <c r="A19" s="13" t="str">
        <f t="shared" si="0"/>
        <v>ORD81598</v>
      </c>
      <c r="B19" s="21" t="s">
        <v>49</v>
      </c>
      <c r="C19" s="6" t="s">
        <v>7</v>
      </c>
      <c r="D19" s="6" t="s">
        <v>42</v>
      </c>
      <c r="E19" s="7">
        <v>45599</v>
      </c>
      <c r="F19" s="23">
        <v>22070.5</v>
      </c>
    </row>
    <row r="20" spans="1:6" ht="48.75" customHeight="1">
      <c r="A20" s="13" t="str">
        <f t="shared" si="0"/>
        <v>ORD81599</v>
      </c>
      <c r="B20" s="21" t="s">
        <v>49</v>
      </c>
      <c r="C20" s="6" t="s">
        <v>7</v>
      </c>
      <c r="D20" s="6" t="s">
        <v>304</v>
      </c>
      <c r="E20" s="7">
        <v>45487</v>
      </c>
      <c r="F20" s="23">
        <v>1428.63</v>
      </c>
    </row>
    <row r="21" spans="1:6" ht="48.75" customHeight="1">
      <c r="A21" s="13" t="str">
        <f t="shared" si="0"/>
        <v>ORD81600</v>
      </c>
      <c r="B21" s="21" t="s">
        <v>41</v>
      </c>
      <c r="C21" s="6" t="s">
        <v>7</v>
      </c>
      <c r="D21" s="6" t="s">
        <v>42</v>
      </c>
      <c r="E21" s="7">
        <v>45388</v>
      </c>
      <c r="F21" s="23">
        <v>16258.84</v>
      </c>
    </row>
    <row r="22" spans="1:6" ht="48.75" customHeight="1">
      <c r="A22" s="13" t="str">
        <f t="shared" si="0"/>
        <v>ORD81601</v>
      </c>
      <c r="B22" s="21" t="s">
        <v>44</v>
      </c>
      <c r="C22" s="6" t="s">
        <v>7</v>
      </c>
      <c r="D22" s="6" t="s">
        <v>304</v>
      </c>
      <c r="E22" s="7">
        <v>45335</v>
      </c>
      <c r="F22" s="23">
        <v>38843.31</v>
      </c>
    </row>
    <row r="23" spans="1:6" ht="48.75" customHeight="1">
      <c r="A23" s="13" t="str">
        <f t="shared" si="0"/>
        <v>ORD81602</v>
      </c>
      <c r="B23" s="21" t="s">
        <v>46</v>
      </c>
      <c r="C23" s="6" t="s">
        <v>7</v>
      </c>
      <c r="D23" s="6" t="s">
        <v>305</v>
      </c>
      <c r="E23" s="7">
        <v>45384</v>
      </c>
      <c r="F23" s="23">
        <v>39567.300000000003</v>
      </c>
    </row>
    <row r="24" spans="1:6" ht="48.75" customHeight="1">
      <c r="A24" s="13" t="str">
        <f t="shared" si="0"/>
        <v>ORD81603</v>
      </c>
      <c r="B24" s="21" t="s">
        <v>49</v>
      </c>
      <c r="C24" s="6" t="s">
        <v>7</v>
      </c>
      <c r="D24" s="6" t="s">
        <v>42</v>
      </c>
      <c r="E24" s="7">
        <v>45584</v>
      </c>
      <c r="F24" s="23">
        <v>27696.79</v>
      </c>
    </row>
    <row r="25" spans="1:6" ht="48.75" customHeight="1">
      <c r="A25" s="13" t="str">
        <f t="shared" si="0"/>
        <v>ORD81604</v>
      </c>
      <c r="B25" s="21" t="s">
        <v>46</v>
      </c>
      <c r="C25" s="6" t="s">
        <v>7</v>
      </c>
      <c r="D25" s="6" t="s">
        <v>42</v>
      </c>
      <c r="E25" s="7">
        <v>45432</v>
      </c>
      <c r="F25" s="23">
        <v>6319.2</v>
      </c>
    </row>
    <row r="26" spans="1:6" ht="48.75" customHeight="1">
      <c r="A26" s="13" t="str">
        <f t="shared" si="0"/>
        <v>ORD81605</v>
      </c>
      <c r="B26" s="21" t="s">
        <v>41</v>
      </c>
      <c r="C26" s="6" t="s">
        <v>7</v>
      </c>
      <c r="D26" s="6" t="s">
        <v>303</v>
      </c>
      <c r="E26" s="7">
        <v>45321</v>
      </c>
      <c r="F26" s="23">
        <v>26104.1</v>
      </c>
    </row>
    <row r="27" spans="1:6" ht="48.75" customHeight="1">
      <c r="A27" s="13" t="str">
        <f t="shared" si="0"/>
        <v>ORD81606</v>
      </c>
      <c r="B27" s="21" t="s">
        <v>49</v>
      </c>
      <c r="C27" s="6" t="s">
        <v>7</v>
      </c>
      <c r="D27" s="6" t="s">
        <v>42</v>
      </c>
      <c r="E27" s="7">
        <v>45370</v>
      </c>
      <c r="F27" s="23">
        <v>45605.16</v>
      </c>
    </row>
    <row r="28" spans="1:6" ht="48.75" customHeight="1">
      <c r="A28" s="13" t="str">
        <f t="shared" si="0"/>
        <v>ORD81607</v>
      </c>
      <c r="B28" s="21" t="s">
        <v>44</v>
      </c>
      <c r="C28" s="6" t="s">
        <v>7</v>
      </c>
      <c r="D28" s="6" t="s">
        <v>305</v>
      </c>
      <c r="E28" s="7">
        <v>45572</v>
      </c>
      <c r="F28" s="23">
        <v>24178.71</v>
      </c>
    </row>
    <row r="29" spans="1:6" ht="48.75" customHeight="1">
      <c r="A29" s="13" t="str">
        <f t="shared" si="0"/>
        <v>ORD81608</v>
      </c>
      <c r="B29" s="21" t="s">
        <v>49</v>
      </c>
      <c r="C29" s="6" t="s">
        <v>7</v>
      </c>
      <c r="D29" s="6" t="s">
        <v>305</v>
      </c>
      <c r="E29" s="7">
        <v>45555</v>
      </c>
      <c r="F29" s="23">
        <v>45398.68</v>
      </c>
    </row>
    <row r="30" spans="1:6" ht="48.75" customHeight="1">
      <c r="A30" s="13" t="str">
        <f t="shared" si="0"/>
        <v>ORD81609</v>
      </c>
      <c r="B30" s="21" t="s">
        <v>44</v>
      </c>
      <c r="C30" s="6" t="s">
        <v>7</v>
      </c>
      <c r="D30" s="6" t="s">
        <v>42</v>
      </c>
      <c r="E30" s="7">
        <v>45352</v>
      </c>
      <c r="F30" s="23">
        <v>34191.129999999997</v>
      </c>
    </row>
    <row r="31" spans="1:6" ht="48.75" customHeight="1">
      <c r="A31" s="13" t="str">
        <f t="shared" si="0"/>
        <v>ORD81610</v>
      </c>
      <c r="B31" s="21" t="s">
        <v>44</v>
      </c>
      <c r="C31" s="6" t="s">
        <v>7</v>
      </c>
      <c r="D31" s="6" t="s">
        <v>305</v>
      </c>
      <c r="E31" s="7">
        <v>45369</v>
      </c>
      <c r="F31" s="23">
        <v>29747.47</v>
      </c>
    </row>
    <row r="32" spans="1:6" ht="48.75" customHeight="1">
      <c r="A32" s="13" t="str">
        <f t="shared" si="0"/>
        <v>ORD81611</v>
      </c>
      <c r="B32" s="21" t="s">
        <v>46</v>
      </c>
      <c r="C32" s="6" t="s">
        <v>7</v>
      </c>
      <c r="D32" s="6" t="s">
        <v>42</v>
      </c>
      <c r="E32" s="7">
        <v>45361</v>
      </c>
      <c r="F32" s="23">
        <v>39409.599999999999</v>
      </c>
    </row>
    <row r="33" spans="1:6" ht="48.75" customHeight="1">
      <c r="A33" s="13" t="str">
        <f t="shared" si="0"/>
        <v>ORD81612</v>
      </c>
      <c r="B33" s="21" t="s">
        <v>41</v>
      </c>
      <c r="C33" s="6" t="s">
        <v>7</v>
      </c>
      <c r="D33" s="6" t="s">
        <v>303</v>
      </c>
      <c r="E33" s="7">
        <v>45557</v>
      </c>
      <c r="F33" s="23">
        <v>8071.47</v>
      </c>
    </row>
    <row r="34" spans="1:6" ht="48.75" customHeight="1">
      <c r="A34" s="13" t="str">
        <f t="shared" si="0"/>
        <v>ORD81613</v>
      </c>
      <c r="B34" s="21" t="s">
        <v>46</v>
      </c>
      <c r="C34" s="6" t="s">
        <v>7</v>
      </c>
      <c r="D34" s="6" t="s">
        <v>304</v>
      </c>
      <c r="E34" s="7">
        <v>45283</v>
      </c>
      <c r="F34" s="23">
        <v>21138.1</v>
      </c>
    </row>
    <row r="35" spans="1:6" ht="48.75" customHeight="1">
      <c r="A35" s="13" t="str">
        <f t="shared" si="0"/>
        <v>ORD81614</v>
      </c>
      <c r="B35" s="21" t="s">
        <v>41</v>
      </c>
      <c r="C35" s="6" t="s">
        <v>7</v>
      </c>
      <c r="D35" s="6" t="s">
        <v>305</v>
      </c>
      <c r="E35" s="7">
        <v>45409</v>
      </c>
      <c r="F35" s="23">
        <v>28521.72</v>
      </c>
    </row>
    <row r="36" spans="1:6" ht="48.75" customHeight="1">
      <c r="A36" s="13" t="str">
        <f t="shared" si="0"/>
        <v>ORD81615</v>
      </c>
      <c r="B36" s="21" t="s">
        <v>49</v>
      </c>
      <c r="C36" s="6" t="s">
        <v>7</v>
      </c>
      <c r="D36" s="6" t="s">
        <v>42</v>
      </c>
      <c r="E36" s="7">
        <v>45633</v>
      </c>
      <c r="F36" s="23">
        <v>31761.46</v>
      </c>
    </row>
    <row r="37" spans="1:6" ht="48.75" customHeight="1">
      <c r="A37" s="13" t="str">
        <f t="shared" si="0"/>
        <v>ORD81616</v>
      </c>
      <c r="B37" s="21" t="s">
        <v>44</v>
      </c>
      <c r="C37" s="6" t="s">
        <v>7</v>
      </c>
      <c r="D37" s="6" t="s">
        <v>305</v>
      </c>
      <c r="E37" s="7">
        <v>45356</v>
      </c>
      <c r="F37" s="23">
        <v>4736.84</v>
      </c>
    </row>
    <row r="38" spans="1:6" ht="48.75" customHeight="1">
      <c r="A38" s="13" t="str">
        <f t="shared" si="0"/>
        <v>ORD81617</v>
      </c>
      <c r="B38" s="21" t="s">
        <v>41</v>
      </c>
      <c r="C38" s="6" t="s">
        <v>7</v>
      </c>
      <c r="D38" s="6" t="s">
        <v>304</v>
      </c>
      <c r="E38" s="7">
        <v>45513</v>
      </c>
      <c r="F38" s="23">
        <v>43517.04</v>
      </c>
    </row>
    <row r="39" spans="1:6" ht="48.75" customHeight="1">
      <c r="A39" s="13" t="str">
        <f t="shared" si="0"/>
        <v>ORD81618</v>
      </c>
      <c r="B39" s="21" t="s">
        <v>49</v>
      </c>
      <c r="C39" s="6" t="s">
        <v>7</v>
      </c>
      <c r="D39" s="6" t="s">
        <v>303</v>
      </c>
      <c r="E39" s="7">
        <v>45343</v>
      </c>
      <c r="F39" s="23">
        <v>26125.69</v>
      </c>
    </row>
    <row r="40" spans="1:6" ht="48.75" customHeight="1">
      <c r="A40" s="13" t="str">
        <f t="shared" si="0"/>
        <v>ORD81619</v>
      </c>
      <c r="B40" s="21" t="s">
        <v>41</v>
      </c>
      <c r="C40" s="6" t="s">
        <v>7</v>
      </c>
      <c r="D40" s="6" t="s">
        <v>42</v>
      </c>
      <c r="E40" s="7">
        <v>45438</v>
      </c>
      <c r="F40" s="23">
        <v>23345.97</v>
      </c>
    </row>
    <row r="41" spans="1:6" ht="48.75" customHeight="1">
      <c r="A41" s="13" t="str">
        <f t="shared" si="0"/>
        <v>ORD81620</v>
      </c>
      <c r="B41" s="21" t="s">
        <v>49</v>
      </c>
      <c r="C41" s="6" t="s">
        <v>7</v>
      </c>
      <c r="D41" s="6" t="s">
        <v>304</v>
      </c>
      <c r="E41" s="7">
        <v>45433</v>
      </c>
      <c r="F41" s="23">
        <v>10792.73</v>
      </c>
    </row>
    <row r="42" spans="1:6" ht="48.75" customHeight="1">
      <c r="A42" s="13" t="str">
        <f t="shared" si="0"/>
        <v>ORD81621</v>
      </c>
      <c r="B42" s="21" t="s">
        <v>44</v>
      </c>
      <c r="C42" s="6" t="s">
        <v>7</v>
      </c>
      <c r="D42" s="6" t="s">
        <v>42</v>
      </c>
      <c r="E42" s="7">
        <v>45441</v>
      </c>
      <c r="F42" s="23">
        <v>45168.65</v>
      </c>
    </row>
    <row r="43" spans="1:6" ht="48.75" customHeight="1">
      <c r="A43" s="13" t="str">
        <f t="shared" si="0"/>
        <v>ORD81622</v>
      </c>
      <c r="B43" s="21" t="s">
        <v>44</v>
      </c>
      <c r="C43" s="6" t="s">
        <v>7</v>
      </c>
      <c r="D43" s="6" t="s">
        <v>304</v>
      </c>
      <c r="E43" s="7">
        <v>45344</v>
      </c>
      <c r="F43" s="23">
        <v>47728.14</v>
      </c>
    </row>
    <row r="44" spans="1:6" ht="48.75" customHeight="1">
      <c r="A44" s="13" t="str">
        <f t="shared" si="0"/>
        <v>ORD81623</v>
      </c>
      <c r="B44" s="21" t="s">
        <v>41</v>
      </c>
      <c r="C44" s="6" t="s">
        <v>7</v>
      </c>
      <c r="D44" s="6" t="s">
        <v>304</v>
      </c>
      <c r="E44" s="7">
        <v>45348</v>
      </c>
      <c r="F44" s="23">
        <v>22444.48</v>
      </c>
    </row>
    <row r="45" spans="1:6" ht="48.75" customHeight="1">
      <c r="A45" s="13" t="str">
        <f t="shared" si="0"/>
        <v>ORD81624</v>
      </c>
      <c r="B45" s="21" t="s">
        <v>44</v>
      </c>
      <c r="C45" s="6" t="s">
        <v>7</v>
      </c>
      <c r="D45" s="6" t="s">
        <v>42</v>
      </c>
      <c r="E45" s="7">
        <v>45485</v>
      </c>
      <c r="F45" s="23">
        <v>42635.25</v>
      </c>
    </row>
    <row r="46" spans="1:6" ht="48.75" customHeight="1">
      <c r="A46" s="13" t="str">
        <f t="shared" si="0"/>
        <v>ORD81625</v>
      </c>
      <c r="B46" s="21" t="s">
        <v>49</v>
      </c>
      <c r="C46" s="6" t="s">
        <v>7</v>
      </c>
      <c r="D46" s="6" t="s">
        <v>303</v>
      </c>
      <c r="E46" s="7">
        <v>45545</v>
      </c>
      <c r="F46" s="23">
        <v>40312.129999999997</v>
      </c>
    </row>
    <row r="47" spans="1:6" ht="48.75" customHeight="1">
      <c r="A47" s="13" t="str">
        <f t="shared" si="0"/>
        <v>ORD81626</v>
      </c>
      <c r="B47" s="21" t="s">
        <v>46</v>
      </c>
      <c r="C47" s="6" t="s">
        <v>7</v>
      </c>
      <c r="D47" s="6" t="s">
        <v>42</v>
      </c>
      <c r="E47" s="7">
        <v>45279</v>
      </c>
      <c r="F47" s="23">
        <v>9150.57</v>
      </c>
    </row>
    <row r="48" spans="1:6" ht="48.75" customHeight="1">
      <c r="A48" s="13" t="str">
        <f t="shared" si="0"/>
        <v>ORD81627</v>
      </c>
      <c r="B48" s="21" t="s">
        <v>41</v>
      </c>
      <c r="C48" s="6" t="s">
        <v>7</v>
      </c>
      <c r="D48" s="6" t="s">
        <v>303</v>
      </c>
      <c r="E48" s="7">
        <v>45604</v>
      </c>
      <c r="F48" s="23">
        <v>25821.200000000001</v>
      </c>
    </row>
    <row r="49" spans="1:6" ht="48.75" customHeight="1">
      <c r="A49" s="13" t="str">
        <f t="shared" si="0"/>
        <v>ORD81628</v>
      </c>
      <c r="B49" s="21" t="s">
        <v>46</v>
      </c>
      <c r="C49" s="6" t="s">
        <v>7</v>
      </c>
      <c r="D49" s="6" t="s">
        <v>305</v>
      </c>
      <c r="E49" s="7">
        <v>45523</v>
      </c>
      <c r="F49" s="23">
        <v>26237.52</v>
      </c>
    </row>
    <row r="50" spans="1:6" ht="48.75" customHeight="1">
      <c r="A50" s="13" t="str">
        <f t="shared" si="0"/>
        <v>ORD81629</v>
      </c>
      <c r="B50" s="21" t="s">
        <v>46</v>
      </c>
      <c r="C50" s="6" t="s">
        <v>7</v>
      </c>
      <c r="D50" s="6" t="s">
        <v>305</v>
      </c>
      <c r="E50" s="7">
        <v>45403</v>
      </c>
      <c r="F50" s="23">
        <v>7626.15</v>
      </c>
    </row>
    <row r="51" spans="1:6" ht="48.75" customHeight="1">
      <c r="A51" s="13" t="str">
        <f t="shared" si="0"/>
        <v>ORD81630</v>
      </c>
      <c r="B51" s="21" t="s">
        <v>46</v>
      </c>
      <c r="C51" s="6" t="s">
        <v>7</v>
      </c>
      <c r="D51" s="6" t="s">
        <v>42</v>
      </c>
      <c r="E51" s="7">
        <v>45374</v>
      </c>
      <c r="F51" s="23">
        <v>41292.01</v>
      </c>
    </row>
    <row r="52" spans="1:6" ht="48.75" customHeight="1">
      <c r="A52" s="13" t="str">
        <f t="shared" si="0"/>
        <v>ORD81631</v>
      </c>
      <c r="B52" s="21" t="s">
        <v>41</v>
      </c>
      <c r="C52" s="6" t="s">
        <v>7</v>
      </c>
      <c r="D52" s="6" t="s">
        <v>303</v>
      </c>
      <c r="E52" s="7">
        <v>45541</v>
      </c>
      <c r="F52" s="23">
        <v>42522.29</v>
      </c>
    </row>
    <row r="53" spans="1:6" ht="48.75" customHeight="1">
      <c r="A53" s="13" t="str">
        <f t="shared" si="0"/>
        <v>ORD81632</v>
      </c>
      <c r="B53" s="21" t="s">
        <v>41</v>
      </c>
      <c r="C53" s="6" t="s">
        <v>7</v>
      </c>
      <c r="D53" s="6" t="s">
        <v>303</v>
      </c>
      <c r="E53" s="7">
        <v>45408</v>
      </c>
      <c r="F53" s="23">
        <v>36914.89</v>
      </c>
    </row>
    <row r="54" spans="1:6" ht="48.75" customHeight="1">
      <c r="A54" s="13" t="str">
        <f>"ORD" &amp; TEXT(RIGHT(A53,5) +1, "00000")</f>
        <v>ORD81633</v>
      </c>
      <c r="B54" s="21" t="s">
        <v>49</v>
      </c>
      <c r="C54" s="6" t="s">
        <v>7</v>
      </c>
      <c r="D54" s="6" t="s">
        <v>303</v>
      </c>
      <c r="E54" s="7">
        <v>45323</v>
      </c>
      <c r="F54" s="23">
        <v>11011.58</v>
      </c>
    </row>
    <row r="55" spans="1:6" ht="48.75" customHeight="1">
      <c r="A55" s="13" t="str">
        <f t="shared" si="0"/>
        <v>ORD81634</v>
      </c>
      <c r="B55" s="21" t="s">
        <v>44</v>
      </c>
      <c r="C55" s="6" t="s">
        <v>7</v>
      </c>
      <c r="D55" s="6" t="s">
        <v>305</v>
      </c>
      <c r="E55" s="7">
        <v>45601</v>
      </c>
      <c r="F55" s="23">
        <v>30898.13</v>
      </c>
    </row>
    <row r="56" spans="1:6" ht="48.75" customHeight="1">
      <c r="A56" s="13" t="str">
        <f t="shared" si="0"/>
        <v>ORD81635</v>
      </c>
      <c r="B56" s="21" t="s">
        <v>41</v>
      </c>
      <c r="C56" s="6" t="s">
        <v>7</v>
      </c>
      <c r="D56" s="6" t="s">
        <v>304</v>
      </c>
      <c r="E56" s="7">
        <v>45388</v>
      </c>
      <c r="F56" s="23">
        <v>4017.93</v>
      </c>
    </row>
    <row r="57" spans="1:6" ht="48.75" customHeight="1">
      <c r="A57" s="13" t="str">
        <f t="shared" si="0"/>
        <v>ORD81636</v>
      </c>
      <c r="B57" s="21" t="s">
        <v>49</v>
      </c>
      <c r="C57" s="6" t="s">
        <v>7</v>
      </c>
      <c r="D57" s="6" t="s">
        <v>42</v>
      </c>
      <c r="E57" s="7">
        <v>45291</v>
      </c>
      <c r="F57" s="23">
        <v>27805.1</v>
      </c>
    </row>
    <row r="58" spans="1:6" ht="48.75" customHeight="1">
      <c r="A58" s="13" t="str">
        <f t="shared" si="0"/>
        <v>ORD81637</v>
      </c>
      <c r="B58" s="21" t="s">
        <v>41</v>
      </c>
      <c r="C58" s="6" t="s">
        <v>7</v>
      </c>
      <c r="D58" s="6" t="s">
        <v>304</v>
      </c>
      <c r="E58" s="7">
        <v>45631</v>
      </c>
      <c r="F58" s="23">
        <v>31121.94</v>
      </c>
    </row>
    <row r="59" spans="1:6" ht="48.75" customHeight="1">
      <c r="A59" s="13" t="str">
        <f t="shared" si="0"/>
        <v>ORD81638</v>
      </c>
      <c r="B59" s="21" t="s">
        <v>46</v>
      </c>
      <c r="C59" s="6" t="s">
        <v>7</v>
      </c>
      <c r="D59" s="6" t="s">
        <v>42</v>
      </c>
      <c r="E59" s="7">
        <v>45300</v>
      </c>
      <c r="F59" s="23">
        <v>34111.86</v>
      </c>
    </row>
    <row r="60" spans="1:6" ht="48.75" customHeight="1">
      <c r="A60" s="13" t="str">
        <f t="shared" si="0"/>
        <v>ORD81639</v>
      </c>
      <c r="B60" s="21" t="s">
        <v>41</v>
      </c>
      <c r="C60" s="6" t="s">
        <v>7</v>
      </c>
      <c r="D60" s="6" t="s">
        <v>304</v>
      </c>
      <c r="E60" s="7">
        <v>45399</v>
      </c>
      <c r="F60" s="23">
        <v>47058.86</v>
      </c>
    </row>
    <row r="61" spans="1:6" ht="48.75" customHeight="1">
      <c r="A61" s="13" t="str">
        <f t="shared" si="0"/>
        <v>ORD81640</v>
      </c>
      <c r="B61" s="21" t="s">
        <v>49</v>
      </c>
      <c r="C61" s="6" t="s">
        <v>7</v>
      </c>
      <c r="D61" s="6" t="s">
        <v>304</v>
      </c>
      <c r="E61" s="7">
        <v>45508</v>
      </c>
      <c r="F61" s="23">
        <v>35930.660000000003</v>
      </c>
    </row>
    <row r="62" spans="1:6" ht="48.75" customHeight="1">
      <c r="A62" s="13" t="str">
        <f t="shared" si="0"/>
        <v>ORD81641</v>
      </c>
      <c r="B62" s="21" t="s">
        <v>46</v>
      </c>
      <c r="C62" s="6" t="s">
        <v>7</v>
      </c>
      <c r="D62" s="6" t="s">
        <v>42</v>
      </c>
      <c r="E62" s="7">
        <v>45508</v>
      </c>
      <c r="F62" s="23">
        <v>14675.93</v>
      </c>
    </row>
    <row r="63" spans="1:6" ht="48.75" customHeight="1">
      <c r="A63" s="13" t="str">
        <f t="shared" si="0"/>
        <v>ORD81642</v>
      </c>
      <c r="B63" s="21" t="s">
        <v>41</v>
      </c>
      <c r="C63" s="6" t="s">
        <v>7</v>
      </c>
      <c r="D63" s="6" t="s">
        <v>305</v>
      </c>
      <c r="E63" s="7">
        <v>45395</v>
      </c>
      <c r="F63" s="23">
        <v>49822.52</v>
      </c>
    </row>
    <row r="64" spans="1:6" ht="48.75" customHeight="1">
      <c r="A64" s="13" t="str">
        <f t="shared" si="0"/>
        <v>ORD81643</v>
      </c>
      <c r="B64" s="21" t="s">
        <v>41</v>
      </c>
      <c r="C64" s="6" t="s">
        <v>7</v>
      </c>
      <c r="D64" s="6" t="s">
        <v>42</v>
      </c>
      <c r="E64" s="7">
        <v>45467</v>
      </c>
      <c r="F64" s="23">
        <v>45881.440000000002</v>
      </c>
    </row>
    <row r="65" spans="1:6" ht="48.75" customHeight="1">
      <c r="A65" s="13" t="str">
        <f t="shared" si="0"/>
        <v>ORD81644</v>
      </c>
      <c r="B65" s="21" t="s">
        <v>41</v>
      </c>
      <c r="C65" s="6" t="s">
        <v>7</v>
      </c>
      <c r="D65" s="6" t="s">
        <v>305</v>
      </c>
      <c r="E65" s="7">
        <v>45426</v>
      </c>
      <c r="F65" s="23">
        <v>38103.25</v>
      </c>
    </row>
    <row r="66" spans="1:6" ht="48.75" customHeight="1">
      <c r="A66" s="13" t="str">
        <f t="shared" si="0"/>
        <v>ORD81645</v>
      </c>
      <c r="B66" s="21" t="s">
        <v>41</v>
      </c>
      <c r="C66" s="6" t="s">
        <v>7</v>
      </c>
      <c r="D66" s="6" t="s">
        <v>305</v>
      </c>
      <c r="E66" s="7">
        <v>45565</v>
      </c>
      <c r="F66" s="23">
        <v>49207.46</v>
      </c>
    </row>
    <row r="67" spans="1:6" ht="48.75" customHeight="1">
      <c r="A67" s="13" t="str">
        <f t="shared" si="0"/>
        <v>ORD81646</v>
      </c>
      <c r="B67" s="21" t="s">
        <v>49</v>
      </c>
      <c r="C67" s="6" t="s">
        <v>7</v>
      </c>
      <c r="D67" s="6" t="s">
        <v>305</v>
      </c>
      <c r="E67" s="7">
        <v>45532</v>
      </c>
      <c r="F67" s="23">
        <v>32098.09</v>
      </c>
    </row>
    <row r="68" spans="1:6" ht="48.75" customHeight="1">
      <c r="A68" s="13" t="str">
        <f t="shared" ref="A68:A131" si="1">"ORD" &amp; TEXT(RIGHT(A67,5) +1, "00000")</f>
        <v>ORD81647</v>
      </c>
      <c r="B68" s="21" t="s">
        <v>44</v>
      </c>
      <c r="C68" s="6" t="s">
        <v>7</v>
      </c>
      <c r="D68" s="6" t="s">
        <v>304</v>
      </c>
      <c r="E68" s="7">
        <v>45517</v>
      </c>
      <c r="F68" s="23">
        <v>23543.42</v>
      </c>
    </row>
    <row r="69" spans="1:6" ht="48.75" customHeight="1">
      <c r="A69" s="13" t="str">
        <f t="shared" si="1"/>
        <v>ORD81648</v>
      </c>
      <c r="B69" s="21" t="s">
        <v>49</v>
      </c>
      <c r="C69" s="6" t="s">
        <v>7</v>
      </c>
      <c r="D69" s="6" t="s">
        <v>305</v>
      </c>
      <c r="E69" s="7">
        <v>45618</v>
      </c>
      <c r="F69" s="23">
        <v>47056.58</v>
      </c>
    </row>
    <row r="70" spans="1:6" ht="48.75" customHeight="1">
      <c r="A70" s="13" t="str">
        <f t="shared" si="1"/>
        <v>ORD81649</v>
      </c>
      <c r="B70" s="21" t="s">
        <v>46</v>
      </c>
      <c r="C70" s="6" t="s">
        <v>7</v>
      </c>
      <c r="D70" s="6" t="s">
        <v>303</v>
      </c>
      <c r="E70" s="7">
        <v>45568</v>
      </c>
      <c r="F70" s="23">
        <v>24080.25</v>
      </c>
    </row>
    <row r="71" spans="1:6" ht="48.75" customHeight="1">
      <c r="A71" s="13" t="str">
        <f t="shared" si="1"/>
        <v>ORD81650</v>
      </c>
      <c r="B71" s="21" t="s">
        <v>41</v>
      </c>
      <c r="C71" s="6" t="s">
        <v>7</v>
      </c>
      <c r="D71" s="6" t="s">
        <v>305</v>
      </c>
      <c r="E71" s="7">
        <v>45603</v>
      </c>
      <c r="F71" s="23">
        <v>44945.94</v>
      </c>
    </row>
    <row r="72" spans="1:6" ht="48.75" customHeight="1">
      <c r="A72" s="13" t="str">
        <f t="shared" si="1"/>
        <v>ORD81651</v>
      </c>
      <c r="B72" s="21" t="s">
        <v>44</v>
      </c>
      <c r="C72" s="6" t="s">
        <v>7</v>
      </c>
      <c r="D72" s="6" t="s">
        <v>305</v>
      </c>
      <c r="E72" s="7">
        <v>45571</v>
      </c>
      <c r="F72" s="23">
        <v>37603.14</v>
      </c>
    </row>
    <row r="73" spans="1:6" ht="48.75" customHeight="1">
      <c r="A73" s="13" t="str">
        <f t="shared" si="1"/>
        <v>ORD81652</v>
      </c>
      <c r="B73" s="21" t="s">
        <v>46</v>
      </c>
      <c r="C73" s="6" t="s">
        <v>7</v>
      </c>
      <c r="D73" s="6" t="s">
        <v>42</v>
      </c>
      <c r="E73" s="7">
        <v>45625</v>
      </c>
      <c r="F73" s="23">
        <v>30192.29</v>
      </c>
    </row>
    <row r="74" spans="1:6" ht="48.75" customHeight="1">
      <c r="A74" s="13" t="str">
        <f t="shared" si="1"/>
        <v>ORD81653</v>
      </c>
      <c r="B74" s="21" t="s">
        <v>46</v>
      </c>
      <c r="C74" s="6" t="s">
        <v>7</v>
      </c>
      <c r="D74" s="6" t="s">
        <v>42</v>
      </c>
      <c r="E74" s="7">
        <v>45406</v>
      </c>
      <c r="F74" s="23">
        <v>37536.230000000003</v>
      </c>
    </row>
    <row r="75" spans="1:6" ht="48.75" customHeight="1">
      <c r="A75" s="13" t="str">
        <f t="shared" si="1"/>
        <v>ORD81654</v>
      </c>
      <c r="B75" s="21" t="s">
        <v>44</v>
      </c>
      <c r="C75" s="6" t="s">
        <v>7</v>
      </c>
      <c r="D75" s="6" t="s">
        <v>304</v>
      </c>
      <c r="E75" s="7">
        <v>45382</v>
      </c>
      <c r="F75" s="23">
        <v>17385.59</v>
      </c>
    </row>
    <row r="76" spans="1:6" ht="48.75" customHeight="1">
      <c r="A76" s="13" t="str">
        <f t="shared" si="1"/>
        <v>ORD81655</v>
      </c>
      <c r="B76" s="21" t="s">
        <v>46</v>
      </c>
      <c r="C76" s="6" t="s">
        <v>7</v>
      </c>
      <c r="D76" s="6" t="s">
        <v>303</v>
      </c>
      <c r="E76" s="7">
        <v>45343</v>
      </c>
      <c r="F76" s="23">
        <v>46645.4</v>
      </c>
    </row>
    <row r="77" spans="1:6" ht="48.75" customHeight="1">
      <c r="A77" s="13" t="str">
        <f t="shared" si="1"/>
        <v>ORD81656</v>
      </c>
      <c r="B77" s="21" t="s">
        <v>46</v>
      </c>
      <c r="C77" s="6" t="s">
        <v>7</v>
      </c>
      <c r="D77" s="6" t="s">
        <v>303</v>
      </c>
      <c r="E77" s="7">
        <v>45588</v>
      </c>
      <c r="F77" s="23">
        <v>45453.68</v>
      </c>
    </row>
    <row r="78" spans="1:6" ht="48.75" customHeight="1">
      <c r="A78" s="13" t="str">
        <f t="shared" si="1"/>
        <v>ORD81657</v>
      </c>
      <c r="B78" s="21" t="s">
        <v>46</v>
      </c>
      <c r="C78" s="6" t="s">
        <v>7</v>
      </c>
      <c r="D78" s="6" t="s">
        <v>42</v>
      </c>
      <c r="E78" s="7">
        <v>45600</v>
      </c>
      <c r="F78" s="23">
        <v>38134.699999999997</v>
      </c>
    </row>
    <row r="79" spans="1:6" ht="48.75" customHeight="1">
      <c r="A79" s="13" t="str">
        <f t="shared" si="1"/>
        <v>ORD81658</v>
      </c>
      <c r="B79" s="21" t="s">
        <v>49</v>
      </c>
      <c r="C79" s="6" t="s">
        <v>7</v>
      </c>
      <c r="D79" s="6" t="s">
        <v>305</v>
      </c>
      <c r="E79" s="7">
        <v>45609</v>
      </c>
      <c r="F79" s="23">
        <v>38327.51</v>
      </c>
    </row>
    <row r="80" spans="1:6" ht="48.75" customHeight="1">
      <c r="A80" s="13" t="str">
        <f t="shared" si="1"/>
        <v>ORD81659</v>
      </c>
      <c r="B80" s="21" t="s">
        <v>44</v>
      </c>
      <c r="C80" s="6" t="s">
        <v>7</v>
      </c>
      <c r="D80" s="6" t="s">
        <v>305</v>
      </c>
      <c r="E80" s="7">
        <v>45378</v>
      </c>
      <c r="F80" s="23">
        <v>15986.71</v>
      </c>
    </row>
    <row r="81" spans="1:6" ht="48.75" customHeight="1">
      <c r="A81" s="13" t="str">
        <f t="shared" si="1"/>
        <v>ORD81660</v>
      </c>
      <c r="B81" s="21" t="s">
        <v>41</v>
      </c>
      <c r="C81" s="6" t="s">
        <v>7</v>
      </c>
      <c r="D81" s="6" t="s">
        <v>305</v>
      </c>
      <c r="E81" s="7">
        <v>45599</v>
      </c>
      <c r="F81" s="23">
        <v>29960.3</v>
      </c>
    </row>
    <row r="82" spans="1:6" ht="48.75" customHeight="1">
      <c r="A82" s="13" t="str">
        <f t="shared" si="1"/>
        <v>ORD81661</v>
      </c>
      <c r="B82" s="21" t="s">
        <v>41</v>
      </c>
      <c r="C82" s="6" t="s">
        <v>7</v>
      </c>
      <c r="D82" s="6" t="s">
        <v>42</v>
      </c>
      <c r="E82" s="7">
        <v>45604</v>
      </c>
      <c r="F82" s="23">
        <v>27110.25</v>
      </c>
    </row>
    <row r="83" spans="1:6" ht="48.75" customHeight="1">
      <c r="A83" s="13" t="str">
        <f t="shared" si="1"/>
        <v>ORD81662</v>
      </c>
      <c r="B83" s="21" t="s">
        <v>49</v>
      </c>
      <c r="C83" s="6" t="s">
        <v>7</v>
      </c>
      <c r="D83" s="6" t="s">
        <v>42</v>
      </c>
      <c r="E83" s="7">
        <v>45592</v>
      </c>
      <c r="F83" s="23">
        <v>47286.55</v>
      </c>
    </row>
    <row r="84" spans="1:6" ht="48.75" customHeight="1">
      <c r="A84" s="13" t="str">
        <f t="shared" si="1"/>
        <v>ORD81663</v>
      </c>
      <c r="B84" s="21" t="s">
        <v>46</v>
      </c>
      <c r="C84" s="6" t="s">
        <v>7</v>
      </c>
      <c r="D84" s="6" t="s">
        <v>304</v>
      </c>
      <c r="E84" s="7">
        <v>45281</v>
      </c>
      <c r="F84" s="23">
        <v>10963.12</v>
      </c>
    </row>
    <row r="85" spans="1:6" ht="48.75" customHeight="1">
      <c r="A85" s="13" t="str">
        <f t="shared" si="1"/>
        <v>ORD81664</v>
      </c>
      <c r="B85" s="21" t="s">
        <v>41</v>
      </c>
      <c r="C85" s="6" t="s">
        <v>7</v>
      </c>
      <c r="D85" s="6" t="s">
        <v>305</v>
      </c>
      <c r="E85" s="7">
        <v>45347</v>
      </c>
      <c r="F85" s="23">
        <v>43210.42</v>
      </c>
    </row>
    <row r="86" spans="1:6" ht="48.75" customHeight="1">
      <c r="A86" s="13" t="str">
        <f t="shared" si="1"/>
        <v>ORD81665</v>
      </c>
      <c r="B86" s="21" t="s">
        <v>44</v>
      </c>
      <c r="C86" s="6" t="s">
        <v>7</v>
      </c>
      <c r="D86" s="6" t="s">
        <v>42</v>
      </c>
      <c r="E86" s="7">
        <v>45618</v>
      </c>
      <c r="F86" s="23">
        <v>33484.61</v>
      </c>
    </row>
    <row r="87" spans="1:6" ht="48.75" customHeight="1">
      <c r="A87" s="13" t="str">
        <f t="shared" si="1"/>
        <v>ORD81666</v>
      </c>
      <c r="B87" s="21" t="s">
        <v>44</v>
      </c>
      <c r="C87" s="6" t="s">
        <v>7</v>
      </c>
      <c r="D87" s="6" t="s">
        <v>42</v>
      </c>
      <c r="E87" s="7">
        <v>45626</v>
      </c>
      <c r="F87" s="23">
        <v>37266.31</v>
      </c>
    </row>
    <row r="88" spans="1:6" ht="48.75" customHeight="1">
      <c r="A88" s="13" t="str">
        <f t="shared" si="1"/>
        <v>ORD81667</v>
      </c>
      <c r="B88" s="21" t="s">
        <v>46</v>
      </c>
      <c r="C88" s="6" t="s">
        <v>7</v>
      </c>
      <c r="D88" s="6" t="s">
        <v>42</v>
      </c>
      <c r="E88" s="7">
        <v>45356</v>
      </c>
      <c r="F88" s="23">
        <v>39095.14</v>
      </c>
    </row>
    <row r="89" spans="1:6" ht="48.75" customHeight="1">
      <c r="A89" s="13" t="str">
        <f t="shared" si="1"/>
        <v>ORD81668</v>
      </c>
      <c r="B89" s="21" t="s">
        <v>44</v>
      </c>
      <c r="C89" s="6" t="s">
        <v>7</v>
      </c>
      <c r="D89" s="6" t="s">
        <v>305</v>
      </c>
      <c r="E89" s="7">
        <v>45565</v>
      </c>
      <c r="F89" s="23">
        <v>7670.13</v>
      </c>
    </row>
    <row r="90" spans="1:6" ht="48.75" customHeight="1">
      <c r="A90" s="13" t="str">
        <f t="shared" si="1"/>
        <v>ORD81669</v>
      </c>
      <c r="B90" s="21" t="s">
        <v>44</v>
      </c>
      <c r="C90" s="6" t="s">
        <v>7</v>
      </c>
      <c r="D90" s="6" t="s">
        <v>42</v>
      </c>
      <c r="E90" s="7">
        <v>45478</v>
      </c>
      <c r="F90" s="23">
        <v>4477.92</v>
      </c>
    </row>
    <row r="91" spans="1:6" ht="48.75" customHeight="1">
      <c r="A91" s="13" t="str">
        <f t="shared" si="1"/>
        <v>ORD81670</v>
      </c>
      <c r="B91" s="21" t="s">
        <v>49</v>
      </c>
      <c r="C91" s="6" t="s">
        <v>7</v>
      </c>
      <c r="D91" s="6" t="s">
        <v>42</v>
      </c>
      <c r="E91" s="7">
        <v>45281</v>
      </c>
      <c r="F91" s="23">
        <v>10790.25</v>
      </c>
    </row>
    <row r="92" spans="1:6" ht="48.75" customHeight="1">
      <c r="A92" s="13" t="str">
        <f t="shared" si="1"/>
        <v>ORD81671</v>
      </c>
      <c r="B92" s="21" t="s">
        <v>49</v>
      </c>
      <c r="C92" s="6" t="s">
        <v>7</v>
      </c>
      <c r="D92" s="6" t="s">
        <v>304</v>
      </c>
      <c r="E92" s="7">
        <v>45508</v>
      </c>
      <c r="F92" s="23">
        <v>1082</v>
      </c>
    </row>
    <row r="93" spans="1:6" ht="48.75" customHeight="1">
      <c r="A93" s="13" t="str">
        <f t="shared" si="1"/>
        <v>ORD81672</v>
      </c>
      <c r="B93" s="21" t="s">
        <v>41</v>
      </c>
      <c r="C93" s="6" t="s">
        <v>7</v>
      </c>
      <c r="D93" s="6" t="s">
        <v>42</v>
      </c>
      <c r="E93" s="7">
        <v>45450</v>
      </c>
      <c r="F93" s="23">
        <v>11252.58</v>
      </c>
    </row>
    <row r="94" spans="1:6" ht="48.75" customHeight="1">
      <c r="A94" s="13" t="str">
        <f t="shared" si="1"/>
        <v>ORD81673</v>
      </c>
      <c r="B94" s="21" t="s">
        <v>46</v>
      </c>
      <c r="C94" s="6" t="s">
        <v>7</v>
      </c>
      <c r="D94" s="6" t="s">
        <v>304</v>
      </c>
      <c r="E94" s="7">
        <v>45426</v>
      </c>
      <c r="F94" s="23">
        <v>43459.29</v>
      </c>
    </row>
    <row r="95" spans="1:6" ht="48.75" customHeight="1">
      <c r="A95" s="13" t="str">
        <f t="shared" si="1"/>
        <v>ORD81674</v>
      </c>
      <c r="B95" s="21" t="s">
        <v>44</v>
      </c>
      <c r="C95" s="6" t="s">
        <v>7</v>
      </c>
      <c r="D95" s="6" t="s">
        <v>305</v>
      </c>
      <c r="E95" s="7">
        <v>45490</v>
      </c>
      <c r="F95" s="23">
        <v>4531.33</v>
      </c>
    </row>
    <row r="96" spans="1:6" ht="48.75" customHeight="1">
      <c r="A96" s="13" t="str">
        <f t="shared" si="1"/>
        <v>ORD81675</v>
      </c>
      <c r="B96" s="21" t="s">
        <v>49</v>
      </c>
      <c r="C96" s="6" t="s">
        <v>7</v>
      </c>
      <c r="D96" s="6" t="s">
        <v>42</v>
      </c>
      <c r="E96" s="7">
        <v>45535</v>
      </c>
      <c r="F96" s="23">
        <v>8885.9500000000007</v>
      </c>
    </row>
    <row r="97" spans="1:6" ht="48.75" customHeight="1">
      <c r="A97" s="13" t="str">
        <f t="shared" si="1"/>
        <v>ORD81676</v>
      </c>
      <c r="B97" s="21" t="s">
        <v>46</v>
      </c>
      <c r="C97" s="6" t="s">
        <v>7</v>
      </c>
      <c r="D97" s="6" t="s">
        <v>304</v>
      </c>
      <c r="E97" s="7">
        <v>45328</v>
      </c>
      <c r="F97" s="23">
        <v>31525.57</v>
      </c>
    </row>
    <row r="98" spans="1:6" ht="48.75" customHeight="1">
      <c r="A98" s="13" t="str">
        <f t="shared" si="1"/>
        <v>ORD81677</v>
      </c>
      <c r="B98" s="21" t="s">
        <v>46</v>
      </c>
      <c r="C98" s="6" t="s">
        <v>7</v>
      </c>
      <c r="D98" s="6" t="s">
        <v>303</v>
      </c>
      <c r="E98" s="7">
        <v>45623</v>
      </c>
      <c r="F98" s="23">
        <v>30521.58</v>
      </c>
    </row>
    <row r="99" spans="1:6" ht="48.75" customHeight="1">
      <c r="A99" s="13" t="str">
        <f t="shared" si="1"/>
        <v>ORD81678</v>
      </c>
      <c r="B99" s="21" t="s">
        <v>44</v>
      </c>
      <c r="C99" s="6" t="s">
        <v>7</v>
      </c>
      <c r="D99" s="6" t="s">
        <v>303</v>
      </c>
      <c r="E99" s="7">
        <v>45564</v>
      </c>
      <c r="F99" s="23">
        <v>41398.949999999997</v>
      </c>
    </row>
    <row r="100" spans="1:6" ht="48.75" customHeight="1">
      <c r="A100" s="13" t="str">
        <f t="shared" si="1"/>
        <v>ORD81679</v>
      </c>
      <c r="B100" s="21" t="s">
        <v>46</v>
      </c>
      <c r="C100" s="6" t="s">
        <v>7</v>
      </c>
      <c r="D100" s="6" t="s">
        <v>42</v>
      </c>
      <c r="E100" s="7">
        <v>45381</v>
      </c>
      <c r="F100" s="23">
        <v>10680.97</v>
      </c>
    </row>
    <row r="101" spans="1:6" ht="48.75" customHeight="1">
      <c r="A101" s="13" t="str">
        <f t="shared" si="1"/>
        <v>ORD81680</v>
      </c>
      <c r="B101" s="21" t="s">
        <v>44</v>
      </c>
      <c r="C101" s="6" t="s">
        <v>7</v>
      </c>
      <c r="D101" s="6" t="s">
        <v>305</v>
      </c>
      <c r="E101" s="7">
        <v>45594</v>
      </c>
      <c r="F101" s="23">
        <v>46690.3</v>
      </c>
    </row>
    <row r="102" spans="1:6" ht="48.75" customHeight="1">
      <c r="A102" s="13" t="str">
        <f t="shared" si="1"/>
        <v>ORD81681</v>
      </c>
      <c r="B102" s="21" t="s">
        <v>49</v>
      </c>
      <c r="C102" s="6" t="s">
        <v>7</v>
      </c>
      <c r="D102" s="6" t="s">
        <v>304</v>
      </c>
      <c r="E102" s="7">
        <v>45485</v>
      </c>
      <c r="F102" s="23">
        <v>42754.71</v>
      </c>
    </row>
    <row r="103" spans="1:6" ht="48.75" customHeight="1">
      <c r="A103" s="13" t="str">
        <f t="shared" si="1"/>
        <v>ORD81682</v>
      </c>
      <c r="B103" s="21" t="s">
        <v>44</v>
      </c>
      <c r="C103" s="6" t="s">
        <v>7</v>
      </c>
      <c r="D103" s="6" t="s">
        <v>42</v>
      </c>
      <c r="E103" s="7">
        <v>45294</v>
      </c>
      <c r="F103" s="23">
        <v>6451.16</v>
      </c>
    </row>
    <row r="104" spans="1:6" ht="48.75" customHeight="1">
      <c r="A104" s="13" t="str">
        <f t="shared" si="1"/>
        <v>ORD81683</v>
      </c>
      <c r="B104" s="21" t="s">
        <v>44</v>
      </c>
      <c r="C104" s="6" t="s">
        <v>7</v>
      </c>
      <c r="D104" s="6" t="s">
        <v>303</v>
      </c>
      <c r="E104" s="7">
        <v>45517</v>
      </c>
      <c r="F104" s="23">
        <v>16472.25</v>
      </c>
    </row>
    <row r="105" spans="1:6" ht="48.75" customHeight="1">
      <c r="A105" s="13" t="str">
        <f t="shared" si="1"/>
        <v>ORD81684</v>
      </c>
      <c r="B105" s="21" t="s">
        <v>44</v>
      </c>
      <c r="C105" s="6" t="s">
        <v>7</v>
      </c>
      <c r="D105" s="6" t="s">
        <v>303</v>
      </c>
      <c r="E105" s="7">
        <v>45538</v>
      </c>
      <c r="F105" s="23">
        <v>46438.84</v>
      </c>
    </row>
    <row r="106" spans="1:6" ht="48.75" customHeight="1">
      <c r="A106" s="13" t="str">
        <f t="shared" si="1"/>
        <v>ORD81685</v>
      </c>
      <c r="B106" s="21" t="s">
        <v>41</v>
      </c>
      <c r="C106" s="6" t="s">
        <v>7</v>
      </c>
      <c r="D106" s="6" t="s">
        <v>305</v>
      </c>
      <c r="E106" s="7">
        <v>45633</v>
      </c>
      <c r="F106" s="23">
        <v>11165.16</v>
      </c>
    </row>
    <row r="107" spans="1:6" ht="48.75" customHeight="1">
      <c r="A107" s="13" t="str">
        <f t="shared" si="1"/>
        <v>ORD81686</v>
      </c>
      <c r="B107" s="21" t="s">
        <v>41</v>
      </c>
      <c r="C107" s="6" t="s">
        <v>7</v>
      </c>
      <c r="D107" s="6" t="s">
        <v>303</v>
      </c>
      <c r="E107" s="7">
        <v>45309</v>
      </c>
      <c r="F107" s="23">
        <v>29279.07</v>
      </c>
    </row>
    <row r="108" spans="1:6" ht="48.75" customHeight="1">
      <c r="A108" s="13" t="str">
        <f t="shared" si="1"/>
        <v>ORD81687</v>
      </c>
      <c r="B108" s="21" t="s">
        <v>49</v>
      </c>
      <c r="C108" s="6" t="s">
        <v>7</v>
      </c>
      <c r="D108" s="6" t="s">
        <v>305</v>
      </c>
      <c r="E108" s="7">
        <v>45637</v>
      </c>
      <c r="F108" s="23">
        <v>33745.56</v>
      </c>
    </row>
    <row r="109" spans="1:6" ht="48.75" customHeight="1">
      <c r="A109" s="13" t="str">
        <f t="shared" si="1"/>
        <v>ORD81688</v>
      </c>
      <c r="B109" s="21" t="s">
        <v>41</v>
      </c>
      <c r="C109" s="6" t="s">
        <v>7</v>
      </c>
      <c r="D109" s="6" t="s">
        <v>305</v>
      </c>
      <c r="E109" s="7">
        <v>45599</v>
      </c>
      <c r="F109" s="23">
        <v>40640.400000000001</v>
      </c>
    </row>
    <row r="110" spans="1:6" ht="48.75" customHeight="1">
      <c r="A110" s="13" t="str">
        <f t="shared" si="1"/>
        <v>ORD81689</v>
      </c>
      <c r="B110" s="21" t="s">
        <v>44</v>
      </c>
      <c r="C110" s="6" t="s">
        <v>7</v>
      </c>
      <c r="D110" s="6" t="s">
        <v>304</v>
      </c>
      <c r="E110" s="7">
        <v>45345</v>
      </c>
      <c r="F110" s="23">
        <v>42985.95</v>
      </c>
    </row>
    <row r="111" spans="1:6" ht="48.75" customHeight="1">
      <c r="A111" s="13" t="str">
        <f t="shared" si="1"/>
        <v>ORD81690</v>
      </c>
      <c r="B111" s="21" t="s">
        <v>46</v>
      </c>
      <c r="C111" s="6" t="s">
        <v>7</v>
      </c>
      <c r="D111" s="6" t="s">
        <v>42</v>
      </c>
      <c r="E111" s="7">
        <v>45478</v>
      </c>
      <c r="F111" s="23">
        <v>21140.35</v>
      </c>
    </row>
    <row r="112" spans="1:6" ht="48.75" customHeight="1">
      <c r="A112" s="13" t="str">
        <f t="shared" si="1"/>
        <v>ORD81691</v>
      </c>
      <c r="B112" s="21" t="s">
        <v>44</v>
      </c>
      <c r="C112" s="6" t="s">
        <v>7</v>
      </c>
      <c r="D112" s="6" t="s">
        <v>305</v>
      </c>
      <c r="E112" s="7">
        <v>45410</v>
      </c>
      <c r="F112" s="23">
        <v>37105.800000000003</v>
      </c>
    </row>
    <row r="113" spans="1:6" ht="48.75" customHeight="1">
      <c r="A113" s="13" t="str">
        <f t="shared" si="1"/>
        <v>ORD81692</v>
      </c>
      <c r="B113" s="21" t="s">
        <v>46</v>
      </c>
      <c r="C113" s="6" t="s">
        <v>7</v>
      </c>
      <c r="D113" s="6" t="s">
        <v>303</v>
      </c>
      <c r="E113" s="7">
        <v>45542</v>
      </c>
      <c r="F113" s="23">
        <v>11315.08</v>
      </c>
    </row>
    <row r="114" spans="1:6" ht="48.75" customHeight="1">
      <c r="A114" s="13" t="str">
        <f t="shared" si="1"/>
        <v>ORD81693</v>
      </c>
      <c r="B114" s="21" t="s">
        <v>41</v>
      </c>
      <c r="C114" s="6" t="s">
        <v>7</v>
      </c>
      <c r="D114" s="6" t="s">
        <v>305</v>
      </c>
      <c r="E114" s="7">
        <v>45366</v>
      </c>
      <c r="F114" s="23">
        <v>22554.18</v>
      </c>
    </row>
    <row r="115" spans="1:6" ht="48.75" customHeight="1">
      <c r="A115" s="13" t="str">
        <f t="shared" si="1"/>
        <v>ORD81694</v>
      </c>
      <c r="B115" s="21" t="s">
        <v>41</v>
      </c>
      <c r="C115" s="6" t="s">
        <v>7</v>
      </c>
      <c r="D115" s="6" t="s">
        <v>304</v>
      </c>
      <c r="E115" s="7">
        <v>45480</v>
      </c>
      <c r="F115" s="23">
        <v>19030.27</v>
      </c>
    </row>
    <row r="116" spans="1:6" ht="48.75" customHeight="1">
      <c r="A116" s="13" t="str">
        <f t="shared" si="1"/>
        <v>ORD81695</v>
      </c>
      <c r="B116" s="21" t="s">
        <v>41</v>
      </c>
      <c r="C116" s="6" t="s">
        <v>7</v>
      </c>
      <c r="D116" s="6" t="s">
        <v>303</v>
      </c>
      <c r="E116" s="7">
        <v>45631</v>
      </c>
      <c r="F116" s="23">
        <v>1471.7</v>
      </c>
    </row>
    <row r="117" spans="1:6" ht="48.75" customHeight="1">
      <c r="A117" s="13" t="str">
        <f t="shared" si="1"/>
        <v>ORD81696</v>
      </c>
      <c r="B117" s="21" t="s">
        <v>49</v>
      </c>
      <c r="C117" s="6" t="s">
        <v>7</v>
      </c>
      <c r="D117" s="6" t="s">
        <v>42</v>
      </c>
      <c r="E117" s="7">
        <v>45293</v>
      </c>
      <c r="F117" s="23">
        <v>40619.949999999997</v>
      </c>
    </row>
    <row r="118" spans="1:6" ht="48.75" customHeight="1">
      <c r="A118" s="13" t="str">
        <f t="shared" si="1"/>
        <v>ORD81697</v>
      </c>
      <c r="B118" s="21" t="s">
        <v>46</v>
      </c>
      <c r="C118" s="6" t="s">
        <v>7</v>
      </c>
      <c r="D118" s="6" t="s">
        <v>304</v>
      </c>
      <c r="E118" s="7">
        <v>45458</v>
      </c>
      <c r="F118" s="23">
        <v>4958.1099999999997</v>
      </c>
    </row>
    <row r="119" spans="1:6" ht="48.75" customHeight="1">
      <c r="A119" s="13" t="str">
        <f t="shared" si="1"/>
        <v>ORD81698</v>
      </c>
      <c r="B119" s="21" t="s">
        <v>41</v>
      </c>
      <c r="C119" s="6" t="s">
        <v>7</v>
      </c>
      <c r="D119" s="6" t="s">
        <v>304</v>
      </c>
      <c r="E119" s="7">
        <v>45477</v>
      </c>
      <c r="F119" s="23">
        <v>26731.16</v>
      </c>
    </row>
    <row r="120" spans="1:6" ht="48.75" customHeight="1">
      <c r="A120" s="13" t="str">
        <f t="shared" si="1"/>
        <v>ORD81699</v>
      </c>
      <c r="B120" s="21" t="s">
        <v>46</v>
      </c>
      <c r="C120" s="6" t="s">
        <v>7</v>
      </c>
      <c r="D120" s="6" t="s">
        <v>304</v>
      </c>
      <c r="E120" s="7">
        <v>45412</v>
      </c>
      <c r="F120" s="23">
        <v>43310.74</v>
      </c>
    </row>
    <row r="121" spans="1:6" ht="48.75" customHeight="1">
      <c r="A121" s="13" t="str">
        <f t="shared" si="1"/>
        <v>ORD81700</v>
      </c>
      <c r="B121" s="21" t="s">
        <v>49</v>
      </c>
      <c r="C121" s="6" t="s">
        <v>7</v>
      </c>
      <c r="D121" s="6" t="s">
        <v>42</v>
      </c>
      <c r="E121" s="7">
        <v>45627</v>
      </c>
      <c r="F121" s="23">
        <v>45589.21</v>
      </c>
    </row>
    <row r="122" spans="1:6" ht="48.75" customHeight="1">
      <c r="A122" s="13" t="str">
        <f t="shared" si="1"/>
        <v>ORD81701</v>
      </c>
      <c r="B122" s="21" t="s">
        <v>44</v>
      </c>
      <c r="C122" s="6" t="s">
        <v>7</v>
      </c>
      <c r="D122" s="6" t="s">
        <v>305</v>
      </c>
      <c r="E122" s="7">
        <v>45610</v>
      </c>
      <c r="F122" s="23">
        <v>13305.37</v>
      </c>
    </row>
    <row r="123" spans="1:6" ht="48.75" customHeight="1">
      <c r="A123" s="13" t="str">
        <f t="shared" si="1"/>
        <v>ORD81702</v>
      </c>
      <c r="B123" s="21" t="s">
        <v>46</v>
      </c>
      <c r="C123" s="6" t="s">
        <v>7</v>
      </c>
      <c r="D123" s="6" t="s">
        <v>304</v>
      </c>
      <c r="E123" s="7">
        <v>45570</v>
      </c>
      <c r="F123" s="23">
        <v>7947.75</v>
      </c>
    </row>
    <row r="124" spans="1:6" ht="48.75" customHeight="1">
      <c r="A124" s="13" t="str">
        <f t="shared" si="1"/>
        <v>ORD81703</v>
      </c>
      <c r="B124" s="21" t="s">
        <v>49</v>
      </c>
      <c r="C124" s="6" t="s">
        <v>7</v>
      </c>
      <c r="D124" s="6" t="s">
        <v>304</v>
      </c>
      <c r="E124" s="7">
        <v>45293</v>
      </c>
      <c r="F124" s="23">
        <v>29379.95</v>
      </c>
    </row>
    <row r="125" spans="1:6" ht="48.75" customHeight="1">
      <c r="A125" s="13" t="str">
        <f t="shared" si="1"/>
        <v>ORD81704</v>
      </c>
      <c r="B125" s="21" t="s">
        <v>46</v>
      </c>
      <c r="C125" s="6" t="s">
        <v>7</v>
      </c>
      <c r="D125" s="6" t="s">
        <v>304</v>
      </c>
      <c r="E125" s="7">
        <v>45616</v>
      </c>
      <c r="F125" s="23">
        <v>44584.04</v>
      </c>
    </row>
    <row r="126" spans="1:6" ht="48.75" customHeight="1">
      <c r="A126" s="13" t="str">
        <f t="shared" si="1"/>
        <v>ORD81705</v>
      </c>
      <c r="B126" s="21" t="s">
        <v>49</v>
      </c>
      <c r="C126" s="6" t="s">
        <v>7</v>
      </c>
      <c r="D126" s="6" t="s">
        <v>305</v>
      </c>
      <c r="E126" s="7">
        <v>45421</v>
      </c>
      <c r="F126" s="23">
        <v>44949.13</v>
      </c>
    </row>
    <row r="127" spans="1:6" ht="48.75" customHeight="1">
      <c r="A127" s="13" t="str">
        <f t="shared" si="1"/>
        <v>ORD81706</v>
      </c>
      <c r="B127" s="21" t="s">
        <v>49</v>
      </c>
      <c r="C127" s="6" t="s">
        <v>7</v>
      </c>
      <c r="D127" s="6" t="s">
        <v>305</v>
      </c>
      <c r="E127" s="7">
        <v>45637</v>
      </c>
      <c r="F127" s="23">
        <v>35275.21</v>
      </c>
    </row>
    <row r="128" spans="1:6" ht="48.75" customHeight="1">
      <c r="A128" s="13" t="str">
        <f t="shared" si="1"/>
        <v>ORD81707</v>
      </c>
      <c r="B128" s="21" t="s">
        <v>49</v>
      </c>
      <c r="C128" s="6" t="s">
        <v>7</v>
      </c>
      <c r="D128" s="6" t="s">
        <v>42</v>
      </c>
      <c r="E128" s="7">
        <v>45318</v>
      </c>
      <c r="F128" s="23">
        <v>21520.52</v>
      </c>
    </row>
    <row r="129" spans="1:6" ht="48.75" customHeight="1">
      <c r="A129" s="13" t="str">
        <f t="shared" si="1"/>
        <v>ORD81708</v>
      </c>
      <c r="B129" s="21" t="s">
        <v>46</v>
      </c>
      <c r="C129" s="6" t="s">
        <v>7</v>
      </c>
      <c r="D129" s="6" t="s">
        <v>305</v>
      </c>
      <c r="E129" s="7">
        <v>45621</v>
      </c>
      <c r="F129" s="23">
        <v>13820.09</v>
      </c>
    </row>
    <row r="130" spans="1:6" ht="48.75" customHeight="1">
      <c r="A130" s="13" t="str">
        <f t="shared" si="1"/>
        <v>ORD81709</v>
      </c>
      <c r="B130" s="21" t="s">
        <v>41</v>
      </c>
      <c r="C130" s="6" t="s">
        <v>7</v>
      </c>
      <c r="D130" s="6" t="s">
        <v>304</v>
      </c>
      <c r="E130" s="7">
        <v>45395</v>
      </c>
      <c r="F130" s="23">
        <v>23897.69</v>
      </c>
    </row>
    <row r="131" spans="1:6" ht="48.75" customHeight="1">
      <c r="A131" s="13" t="str">
        <f t="shared" si="1"/>
        <v>ORD81710</v>
      </c>
      <c r="B131" s="21" t="s">
        <v>41</v>
      </c>
      <c r="C131" s="6" t="s">
        <v>7</v>
      </c>
      <c r="D131" s="6" t="s">
        <v>303</v>
      </c>
      <c r="E131" s="7">
        <v>45316</v>
      </c>
      <c r="F131" s="23">
        <v>47765.07</v>
      </c>
    </row>
    <row r="132" spans="1:6" ht="48.75" customHeight="1">
      <c r="A132" s="13" t="str">
        <f t="shared" ref="A132:A195" si="2">"ORD" &amp; TEXT(RIGHT(A131,5) +1, "00000")</f>
        <v>ORD81711</v>
      </c>
      <c r="B132" s="21" t="s">
        <v>44</v>
      </c>
      <c r="C132" s="6" t="s">
        <v>7</v>
      </c>
      <c r="D132" s="6" t="s">
        <v>42</v>
      </c>
      <c r="E132" s="7">
        <v>45511</v>
      </c>
      <c r="F132" s="23">
        <v>49465.120000000003</v>
      </c>
    </row>
    <row r="133" spans="1:6" ht="48.75" customHeight="1">
      <c r="A133" s="13" t="str">
        <f t="shared" si="2"/>
        <v>ORD81712</v>
      </c>
      <c r="B133" s="21" t="s">
        <v>44</v>
      </c>
      <c r="C133" s="6" t="s">
        <v>7</v>
      </c>
      <c r="D133" s="6" t="s">
        <v>304</v>
      </c>
      <c r="E133" s="7">
        <v>45335</v>
      </c>
      <c r="F133" s="23">
        <v>24741.9</v>
      </c>
    </row>
    <row r="134" spans="1:6" ht="48.75" customHeight="1">
      <c r="A134" s="13" t="str">
        <f t="shared" si="2"/>
        <v>ORD81713</v>
      </c>
      <c r="B134" s="21" t="s">
        <v>44</v>
      </c>
      <c r="C134" s="6" t="s">
        <v>7</v>
      </c>
      <c r="D134" s="6" t="s">
        <v>305</v>
      </c>
      <c r="E134" s="7">
        <v>45617</v>
      </c>
      <c r="F134" s="23">
        <v>18596.97</v>
      </c>
    </row>
    <row r="135" spans="1:6" ht="48.75" customHeight="1">
      <c r="A135" s="13" t="str">
        <f t="shared" si="2"/>
        <v>ORD81714</v>
      </c>
      <c r="B135" s="21" t="s">
        <v>44</v>
      </c>
      <c r="C135" s="6" t="s">
        <v>7</v>
      </c>
      <c r="D135" s="6" t="s">
        <v>305</v>
      </c>
      <c r="E135" s="7">
        <v>45371</v>
      </c>
      <c r="F135" s="23">
        <v>41401.46</v>
      </c>
    </row>
    <row r="136" spans="1:6" ht="48.75" customHeight="1">
      <c r="A136" s="13" t="str">
        <f t="shared" si="2"/>
        <v>ORD81715</v>
      </c>
      <c r="B136" s="21" t="s">
        <v>44</v>
      </c>
      <c r="C136" s="6" t="s">
        <v>7</v>
      </c>
      <c r="D136" s="6" t="s">
        <v>303</v>
      </c>
      <c r="E136" s="7">
        <v>45618</v>
      </c>
      <c r="F136" s="23">
        <v>3500.24</v>
      </c>
    </row>
    <row r="137" spans="1:6" ht="48.75" customHeight="1">
      <c r="A137" s="13" t="str">
        <f t="shared" si="2"/>
        <v>ORD81716</v>
      </c>
      <c r="B137" s="21" t="s">
        <v>46</v>
      </c>
      <c r="C137" s="6" t="s">
        <v>7</v>
      </c>
      <c r="D137" s="6" t="s">
        <v>304</v>
      </c>
      <c r="E137" s="7">
        <v>45532</v>
      </c>
      <c r="F137" s="23">
        <v>30442</v>
      </c>
    </row>
    <row r="138" spans="1:6" ht="48.75" customHeight="1">
      <c r="A138" s="13" t="str">
        <f t="shared" si="2"/>
        <v>ORD81717</v>
      </c>
      <c r="B138" s="21" t="s">
        <v>44</v>
      </c>
      <c r="C138" s="6" t="s">
        <v>7</v>
      </c>
      <c r="D138" s="6" t="s">
        <v>303</v>
      </c>
      <c r="E138" s="7">
        <v>45559</v>
      </c>
      <c r="F138" s="23">
        <v>47934.09</v>
      </c>
    </row>
    <row r="139" spans="1:6" ht="48.75" customHeight="1">
      <c r="A139" s="13" t="str">
        <f t="shared" si="2"/>
        <v>ORD81718</v>
      </c>
      <c r="B139" s="21" t="s">
        <v>44</v>
      </c>
      <c r="C139" s="6" t="s">
        <v>7</v>
      </c>
      <c r="D139" s="6" t="s">
        <v>42</v>
      </c>
      <c r="E139" s="7">
        <v>45643</v>
      </c>
      <c r="F139" s="23">
        <v>8577.8799999999992</v>
      </c>
    </row>
    <row r="140" spans="1:6" ht="48.75" customHeight="1">
      <c r="A140" s="13" t="str">
        <f t="shared" si="2"/>
        <v>ORD81719</v>
      </c>
      <c r="B140" s="21" t="s">
        <v>41</v>
      </c>
      <c r="C140" s="6" t="s">
        <v>7</v>
      </c>
      <c r="D140" s="6" t="s">
        <v>42</v>
      </c>
      <c r="E140" s="7">
        <v>45629</v>
      </c>
      <c r="F140" s="23">
        <v>8591.0400000000009</v>
      </c>
    </row>
    <row r="141" spans="1:6" ht="48.75" customHeight="1">
      <c r="A141" s="13" t="str">
        <f t="shared" si="2"/>
        <v>ORD81720</v>
      </c>
      <c r="B141" s="21" t="s">
        <v>41</v>
      </c>
      <c r="C141" s="6" t="s">
        <v>7</v>
      </c>
      <c r="D141" s="6" t="s">
        <v>305</v>
      </c>
      <c r="E141" s="7">
        <v>45591</v>
      </c>
      <c r="F141" s="23">
        <v>21713.91</v>
      </c>
    </row>
    <row r="142" spans="1:6" ht="48.75" customHeight="1">
      <c r="A142" s="13" t="str">
        <f t="shared" si="2"/>
        <v>ORD81721</v>
      </c>
      <c r="B142" s="21" t="s">
        <v>49</v>
      </c>
      <c r="C142" s="6" t="s">
        <v>7</v>
      </c>
      <c r="D142" s="6" t="s">
        <v>42</v>
      </c>
      <c r="E142" s="7">
        <v>45411</v>
      </c>
      <c r="F142" s="23">
        <v>47427.02</v>
      </c>
    </row>
    <row r="143" spans="1:6" ht="48.75" customHeight="1">
      <c r="A143" s="13" t="str">
        <f t="shared" si="2"/>
        <v>ORD81722</v>
      </c>
      <c r="B143" s="21" t="s">
        <v>41</v>
      </c>
      <c r="C143" s="6" t="s">
        <v>7</v>
      </c>
      <c r="D143" s="6" t="s">
        <v>305</v>
      </c>
      <c r="E143" s="7">
        <v>45418</v>
      </c>
      <c r="F143" s="23">
        <v>7924.57</v>
      </c>
    </row>
    <row r="144" spans="1:6" ht="48.75" customHeight="1">
      <c r="A144" s="13" t="str">
        <f t="shared" si="2"/>
        <v>ORD81723</v>
      </c>
      <c r="B144" s="21" t="s">
        <v>46</v>
      </c>
      <c r="C144" s="6" t="s">
        <v>7</v>
      </c>
      <c r="D144" s="6" t="s">
        <v>305</v>
      </c>
      <c r="E144" s="7">
        <v>45322</v>
      </c>
      <c r="F144" s="23">
        <v>24588.62</v>
      </c>
    </row>
    <row r="145" spans="1:6" ht="48.75" customHeight="1">
      <c r="A145" s="13" t="str">
        <f t="shared" si="2"/>
        <v>ORD81724</v>
      </c>
      <c r="B145" s="21" t="s">
        <v>46</v>
      </c>
      <c r="C145" s="6" t="s">
        <v>7</v>
      </c>
      <c r="D145" s="6" t="s">
        <v>305</v>
      </c>
      <c r="E145" s="7">
        <v>45578</v>
      </c>
      <c r="F145" s="23">
        <v>9091.7800000000007</v>
      </c>
    </row>
    <row r="146" spans="1:6" ht="48.75" customHeight="1">
      <c r="A146" s="13" t="str">
        <f t="shared" si="2"/>
        <v>ORD81725</v>
      </c>
      <c r="B146" s="21" t="s">
        <v>41</v>
      </c>
      <c r="C146" s="6" t="s">
        <v>7</v>
      </c>
      <c r="D146" s="6" t="s">
        <v>42</v>
      </c>
      <c r="E146" s="7">
        <v>45485</v>
      </c>
      <c r="F146" s="23">
        <v>19335.43</v>
      </c>
    </row>
    <row r="147" spans="1:6" ht="48.75" customHeight="1">
      <c r="A147" s="13" t="str">
        <f t="shared" si="2"/>
        <v>ORD81726</v>
      </c>
      <c r="B147" s="21" t="s">
        <v>41</v>
      </c>
      <c r="C147" s="6" t="s">
        <v>7</v>
      </c>
      <c r="D147" s="6" t="s">
        <v>42</v>
      </c>
      <c r="E147" s="7">
        <v>45335</v>
      </c>
      <c r="F147" s="23">
        <v>27963.75</v>
      </c>
    </row>
    <row r="148" spans="1:6" ht="48.75" customHeight="1">
      <c r="A148" s="13" t="str">
        <f t="shared" si="2"/>
        <v>ORD81727</v>
      </c>
      <c r="B148" s="21" t="s">
        <v>44</v>
      </c>
      <c r="C148" s="6" t="s">
        <v>7</v>
      </c>
      <c r="D148" s="6" t="s">
        <v>304</v>
      </c>
      <c r="E148" s="7">
        <v>45421</v>
      </c>
      <c r="F148" s="23">
        <v>28617.45</v>
      </c>
    </row>
    <row r="149" spans="1:6" ht="48.75" customHeight="1">
      <c r="A149" s="13" t="str">
        <f t="shared" si="2"/>
        <v>ORD81728</v>
      </c>
      <c r="B149" s="21" t="s">
        <v>41</v>
      </c>
      <c r="C149" s="6" t="s">
        <v>7</v>
      </c>
      <c r="D149" s="6" t="s">
        <v>42</v>
      </c>
      <c r="E149" s="7">
        <v>45394</v>
      </c>
      <c r="F149" s="23">
        <v>46848.65</v>
      </c>
    </row>
    <row r="150" spans="1:6" ht="48.75" customHeight="1">
      <c r="A150" s="13" t="str">
        <f t="shared" si="2"/>
        <v>ORD81729</v>
      </c>
      <c r="B150" s="21" t="s">
        <v>41</v>
      </c>
      <c r="C150" s="6" t="s">
        <v>7</v>
      </c>
      <c r="D150" s="6" t="s">
        <v>305</v>
      </c>
      <c r="E150" s="7">
        <v>45310</v>
      </c>
      <c r="F150" s="23">
        <v>16292.74</v>
      </c>
    </row>
    <row r="151" spans="1:6" ht="48.75" customHeight="1">
      <c r="A151" s="13" t="str">
        <f t="shared" si="2"/>
        <v>ORD81730</v>
      </c>
      <c r="B151" s="21" t="s">
        <v>49</v>
      </c>
      <c r="C151" s="6" t="s">
        <v>7</v>
      </c>
      <c r="D151" s="6" t="s">
        <v>42</v>
      </c>
      <c r="E151" s="7">
        <v>45438</v>
      </c>
      <c r="F151" s="23">
        <v>14531.1</v>
      </c>
    </row>
    <row r="152" spans="1:6" ht="48.75" customHeight="1">
      <c r="A152" s="13" t="str">
        <f t="shared" si="2"/>
        <v>ORD81731</v>
      </c>
      <c r="B152" s="21" t="s">
        <v>49</v>
      </c>
      <c r="C152" s="6" t="s">
        <v>7</v>
      </c>
      <c r="D152" s="6" t="s">
        <v>304</v>
      </c>
      <c r="E152" s="7">
        <v>45601</v>
      </c>
      <c r="F152" s="23">
        <v>27701.23</v>
      </c>
    </row>
    <row r="153" spans="1:6" ht="48.75" customHeight="1">
      <c r="A153" s="13" t="str">
        <f t="shared" si="2"/>
        <v>ORD81732</v>
      </c>
      <c r="B153" s="21" t="s">
        <v>44</v>
      </c>
      <c r="C153" s="6" t="s">
        <v>7</v>
      </c>
      <c r="D153" s="6" t="s">
        <v>305</v>
      </c>
      <c r="E153" s="7">
        <v>45618</v>
      </c>
      <c r="F153" s="23">
        <v>22525.81</v>
      </c>
    </row>
    <row r="154" spans="1:6" ht="48.75" customHeight="1">
      <c r="A154" s="13" t="str">
        <f t="shared" si="2"/>
        <v>ORD81733</v>
      </c>
      <c r="B154" s="21" t="s">
        <v>41</v>
      </c>
      <c r="C154" s="6" t="s">
        <v>7</v>
      </c>
      <c r="D154" s="6" t="s">
        <v>304</v>
      </c>
      <c r="E154" s="7">
        <v>45599</v>
      </c>
      <c r="F154" s="23">
        <v>18105.419999999998</v>
      </c>
    </row>
    <row r="155" spans="1:6" ht="48.75" customHeight="1">
      <c r="A155" s="13" t="str">
        <f t="shared" si="2"/>
        <v>ORD81734</v>
      </c>
      <c r="B155" s="21" t="s">
        <v>41</v>
      </c>
      <c r="C155" s="6" t="s">
        <v>7</v>
      </c>
      <c r="D155" s="6" t="s">
        <v>303</v>
      </c>
      <c r="E155" s="7">
        <v>45493</v>
      </c>
      <c r="F155" s="23">
        <v>46534.48</v>
      </c>
    </row>
    <row r="156" spans="1:6" ht="48.75" customHeight="1">
      <c r="A156" s="13" t="str">
        <f t="shared" si="2"/>
        <v>ORD81735</v>
      </c>
      <c r="B156" s="21" t="s">
        <v>49</v>
      </c>
      <c r="C156" s="6" t="s">
        <v>7</v>
      </c>
      <c r="D156" s="6" t="s">
        <v>303</v>
      </c>
      <c r="E156" s="7">
        <v>45288</v>
      </c>
      <c r="F156" s="23">
        <v>43237.87</v>
      </c>
    </row>
    <row r="157" spans="1:6" ht="48.75" customHeight="1">
      <c r="A157" s="13" t="str">
        <f t="shared" si="2"/>
        <v>ORD81736</v>
      </c>
      <c r="B157" s="21" t="s">
        <v>41</v>
      </c>
      <c r="C157" s="6" t="s">
        <v>7</v>
      </c>
      <c r="D157" s="6" t="s">
        <v>305</v>
      </c>
      <c r="E157" s="7">
        <v>45428</v>
      </c>
      <c r="F157" s="23">
        <v>24215.81</v>
      </c>
    </row>
    <row r="158" spans="1:6" ht="48.75" customHeight="1">
      <c r="A158" s="13" t="str">
        <f t="shared" si="2"/>
        <v>ORD81737</v>
      </c>
      <c r="B158" s="21" t="s">
        <v>44</v>
      </c>
      <c r="C158" s="6" t="s">
        <v>7</v>
      </c>
      <c r="D158" s="6" t="s">
        <v>304</v>
      </c>
      <c r="E158" s="7">
        <v>45522</v>
      </c>
      <c r="F158" s="23">
        <v>5154.58</v>
      </c>
    </row>
    <row r="159" spans="1:6" ht="48.75" customHeight="1">
      <c r="A159" s="13" t="str">
        <f t="shared" si="2"/>
        <v>ORD81738</v>
      </c>
      <c r="B159" s="21" t="s">
        <v>44</v>
      </c>
      <c r="C159" s="6" t="s">
        <v>7</v>
      </c>
      <c r="D159" s="6" t="s">
        <v>304</v>
      </c>
      <c r="E159" s="7">
        <v>45584</v>
      </c>
      <c r="F159" s="23">
        <v>48541.14</v>
      </c>
    </row>
    <row r="160" spans="1:6" ht="48.75" customHeight="1">
      <c r="A160" s="13" t="str">
        <f t="shared" si="2"/>
        <v>ORD81739</v>
      </c>
      <c r="B160" s="21" t="s">
        <v>41</v>
      </c>
      <c r="C160" s="6" t="s">
        <v>7</v>
      </c>
      <c r="D160" s="6" t="s">
        <v>303</v>
      </c>
      <c r="E160" s="7">
        <v>45327</v>
      </c>
      <c r="F160" s="23">
        <v>29150.13</v>
      </c>
    </row>
    <row r="161" spans="1:6" ht="48.75" customHeight="1">
      <c r="A161" s="13" t="str">
        <f t="shared" si="2"/>
        <v>ORD81740</v>
      </c>
      <c r="B161" s="21" t="s">
        <v>41</v>
      </c>
      <c r="C161" s="6" t="s">
        <v>7</v>
      </c>
      <c r="D161" s="6" t="s">
        <v>42</v>
      </c>
      <c r="E161" s="7">
        <v>45471</v>
      </c>
      <c r="F161" s="23">
        <v>32185.39</v>
      </c>
    </row>
    <row r="162" spans="1:6" ht="48.75" customHeight="1">
      <c r="A162" s="13" t="str">
        <f t="shared" si="2"/>
        <v>ORD81741</v>
      </c>
      <c r="B162" s="21" t="s">
        <v>49</v>
      </c>
      <c r="C162" s="6" t="s">
        <v>7</v>
      </c>
      <c r="D162" s="6" t="s">
        <v>305</v>
      </c>
      <c r="E162" s="7">
        <v>45454</v>
      </c>
      <c r="F162" s="23">
        <v>31377.89</v>
      </c>
    </row>
    <row r="163" spans="1:6" ht="48.75" customHeight="1">
      <c r="A163" s="13" t="str">
        <f t="shared" si="2"/>
        <v>ORD81742</v>
      </c>
      <c r="B163" s="21" t="s">
        <v>41</v>
      </c>
      <c r="C163" s="6" t="s">
        <v>7</v>
      </c>
      <c r="D163" s="6" t="s">
        <v>303</v>
      </c>
      <c r="E163" s="7">
        <v>45463</v>
      </c>
      <c r="F163" s="23">
        <v>21483.94</v>
      </c>
    </row>
    <row r="164" spans="1:6" ht="48.75" customHeight="1">
      <c r="A164" s="13" t="str">
        <f t="shared" si="2"/>
        <v>ORD81743</v>
      </c>
      <c r="B164" s="21" t="s">
        <v>44</v>
      </c>
      <c r="C164" s="6" t="s">
        <v>7</v>
      </c>
      <c r="D164" s="6" t="s">
        <v>42</v>
      </c>
      <c r="E164" s="7">
        <v>45471</v>
      </c>
      <c r="F164" s="23">
        <v>21091.11</v>
      </c>
    </row>
    <row r="165" spans="1:6" ht="48.75" customHeight="1">
      <c r="A165" s="13" t="str">
        <f t="shared" si="2"/>
        <v>ORD81744</v>
      </c>
      <c r="B165" s="21" t="s">
        <v>41</v>
      </c>
      <c r="C165" s="6" t="s">
        <v>7</v>
      </c>
      <c r="D165" s="6" t="s">
        <v>303</v>
      </c>
      <c r="E165" s="7">
        <v>45336</v>
      </c>
      <c r="F165" s="23">
        <v>31631.97</v>
      </c>
    </row>
    <row r="166" spans="1:6" ht="48.75" customHeight="1">
      <c r="A166" s="13" t="str">
        <f t="shared" si="2"/>
        <v>ORD81745</v>
      </c>
      <c r="B166" s="21" t="s">
        <v>44</v>
      </c>
      <c r="C166" s="6" t="s">
        <v>7</v>
      </c>
      <c r="D166" s="6" t="s">
        <v>305</v>
      </c>
      <c r="E166" s="7">
        <v>45627</v>
      </c>
      <c r="F166" s="23">
        <v>29043.52</v>
      </c>
    </row>
    <row r="167" spans="1:6" ht="48.75" customHeight="1">
      <c r="A167" s="13" t="str">
        <f t="shared" si="2"/>
        <v>ORD81746</v>
      </c>
      <c r="B167" s="21" t="s">
        <v>46</v>
      </c>
      <c r="C167" s="6" t="s">
        <v>7</v>
      </c>
      <c r="D167" s="6" t="s">
        <v>304</v>
      </c>
      <c r="E167" s="7">
        <v>45378</v>
      </c>
      <c r="F167" s="23">
        <v>28271.26</v>
      </c>
    </row>
    <row r="168" spans="1:6" ht="48.75" customHeight="1">
      <c r="A168" s="13" t="str">
        <f t="shared" si="2"/>
        <v>ORD81747</v>
      </c>
      <c r="B168" s="21" t="s">
        <v>46</v>
      </c>
      <c r="C168" s="6" t="s">
        <v>7</v>
      </c>
      <c r="D168" s="6" t="s">
        <v>42</v>
      </c>
      <c r="E168" s="7">
        <v>45377</v>
      </c>
      <c r="F168" s="23">
        <v>18870.400000000001</v>
      </c>
    </row>
    <row r="169" spans="1:6" ht="48.75" customHeight="1">
      <c r="A169" s="13" t="str">
        <f t="shared" si="2"/>
        <v>ORD81748</v>
      </c>
      <c r="B169" s="21" t="s">
        <v>49</v>
      </c>
      <c r="C169" s="6" t="s">
        <v>7</v>
      </c>
      <c r="D169" s="6" t="s">
        <v>42</v>
      </c>
      <c r="E169" s="7">
        <v>45368</v>
      </c>
      <c r="F169" s="23">
        <v>15198.95</v>
      </c>
    </row>
    <row r="170" spans="1:6" ht="48.75" customHeight="1">
      <c r="A170" s="13" t="str">
        <f t="shared" si="2"/>
        <v>ORD81749</v>
      </c>
      <c r="B170" s="21" t="s">
        <v>44</v>
      </c>
      <c r="C170" s="6" t="s">
        <v>7</v>
      </c>
      <c r="D170" s="6" t="s">
        <v>303</v>
      </c>
      <c r="E170" s="7">
        <v>45335</v>
      </c>
      <c r="F170" s="23">
        <v>39600.26</v>
      </c>
    </row>
    <row r="171" spans="1:6" ht="48.75" customHeight="1">
      <c r="A171" s="13" t="str">
        <f t="shared" si="2"/>
        <v>ORD81750</v>
      </c>
      <c r="B171" s="21" t="s">
        <v>49</v>
      </c>
      <c r="C171" s="6" t="s">
        <v>7</v>
      </c>
      <c r="D171" s="6" t="s">
        <v>304</v>
      </c>
      <c r="E171" s="7">
        <v>45403</v>
      </c>
      <c r="F171" s="23">
        <v>11193.38</v>
      </c>
    </row>
    <row r="172" spans="1:6" ht="48.75" customHeight="1">
      <c r="A172" s="13" t="str">
        <f t="shared" si="2"/>
        <v>ORD81751</v>
      </c>
      <c r="B172" s="21" t="s">
        <v>46</v>
      </c>
      <c r="C172" s="6" t="s">
        <v>7</v>
      </c>
      <c r="D172" s="6" t="s">
        <v>304</v>
      </c>
      <c r="E172" s="7">
        <v>45382</v>
      </c>
      <c r="F172" s="23">
        <v>5271.9</v>
      </c>
    </row>
    <row r="173" spans="1:6" ht="48.75" customHeight="1">
      <c r="A173" s="13" t="str">
        <f t="shared" si="2"/>
        <v>ORD81752</v>
      </c>
      <c r="B173" s="21" t="s">
        <v>44</v>
      </c>
      <c r="C173" s="6" t="s">
        <v>7</v>
      </c>
      <c r="D173" s="6" t="s">
        <v>42</v>
      </c>
      <c r="E173" s="7">
        <v>45559</v>
      </c>
      <c r="F173" s="23">
        <v>20849.240000000002</v>
      </c>
    </row>
    <row r="174" spans="1:6" ht="48.75" customHeight="1">
      <c r="A174" s="13" t="str">
        <f t="shared" si="2"/>
        <v>ORD81753</v>
      </c>
      <c r="B174" s="21" t="s">
        <v>49</v>
      </c>
      <c r="C174" s="6" t="s">
        <v>7</v>
      </c>
      <c r="D174" s="6" t="s">
        <v>303</v>
      </c>
      <c r="E174" s="7">
        <v>45357</v>
      </c>
      <c r="F174" s="23">
        <v>47233.53</v>
      </c>
    </row>
    <row r="175" spans="1:6" ht="48.75" customHeight="1">
      <c r="A175" s="13" t="str">
        <f t="shared" si="2"/>
        <v>ORD81754</v>
      </c>
      <c r="B175" s="21" t="s">
        <v>46</v>
      </c>
      <c r="C175" s="6" t="s">
        <v>7</v>
      </c>
      <c r="D175" s="6" t="s">
        <v>42</v>
      </c>
      <c r="E175" s="7">
        <v>45332</v>
      </c>
      <c r="F175" s="23">
        <v>25641.27</v>
      </c>
    </row>
    <row r="176" spans="1:6" ht="48.75" customHeight="1">
      <c r="A176" s="13" t="str">
        <f t="shared" si="2"/>
        <v>ORD81755</v>
      </c>
      <c r="B176" s="21" t="s">
        <v>44</v>
      </c>
      <c r="C176" s="6" t="s">
        <v>7</v>
      </c>
      <c r="D176" s="6" t="s">
        <v>304</v>
      </c>
      <c r="E176" s="7">
        <v>45567</v>
      </c>
      <c r="F176" s="23">
        <v>49150.2</v>
      </c>
    </row>
    <row r="177" spans="1:6" ht="48.75" customHeight="1">
      <c r="A177" s="13" t="str">
        <f t="shared" si="2"/>
        <v>ORD81756</v>
      </c>
      <c r="B177" s="21" t="s">
        <v>46</v>
      </c>
      <c r="C177" s="6" t="s">
        <v>7</v>
      </c>
      <c r="D177" s="6" t="s">
        <v>303</v>
      </c>
      <c r="E177" s="7">
        <v>45307</v>
      </c>
      <c r="F177" s="23">
        <v>15809.52</v>
      </c>
    </row>
    <row r="178" spans="1:6" ht="48.75" customHeight="1">
      <c r="A178" s="13" t="str">
        <f t="shared" si="2"/>
        <v>ORD81757</v>
      </c>
      <c r="B178" s="21" t="s">
        <v>41</v>
      </c>
      <c r="C178" s="6" t="s">
        <v>7</v>
      </c>
      <c r="D178" s="6" t="s">
        <v>303</v>
      </c>
      <c r="E178" s="7">
        <v>45482</v>
      </c>
      <c r="F178" s="23">
        <v>30396.41</v>
      </c>
    </row>
    <row r="179" spans="1:6" ht="48.75" customHeight="1">
      <c r="A179" s="13" t="str">
        <f t="shared" si="2"/>
        <v>ORD81758</v>
      </c>
      <c r="B179" s="21" t="s">
        <v>46</v>
      </c>
      <c r="C179" s="6" t="s">
        <v>7</v>
      </c>
      <c r="D179" s="6" t="s">
        <v>303</v>
      </c>
      <c r="E179" s="7">
        <v>45374</v>
      </c>
      <c r="F179" s="23">
        <v>10971.85</v>
      </c>
    </row>
    <row r="180" spans="1:6" ht="48.75" customHeight="1">
      <c r="A180" s="13" t="str">
        <f t="shared" si="2"/>
        <v>ORD81759</v>
      </c>
      <c r="B180" s="21" t="s">
        <v>44</v>
      </c>
      <c r="C180" s="6" t="s">
        <v>7</v>
      </c>
      <c r="D180" s="6" t="s">
        <v>304</v>
      </c>
      <c r="E180" s="7">
        <v>45497</v>
      </c>
      <c r="F180" s="23">
        <v>6900.29</v>
      </c>
    </row>
    <row r="181" spans="1:6" ht="48.75" customHeight="1">
      <c r="A181" s="13" t="str">
        <f t="shared" si="2"/>
        <v>ORD81760</v>
      </c>
      <c r="B181" s="21" t="s">
        <v>41</v>
      </c>
      <c r="C181" s="6" t="s">
        <v>7</v>
      </c>
      <c r="D181" s="6" t="s">
        <v>42</v>
      </c>
      <c r="E181" s="7">
        <v>45392</v>
      </c>
      <c r="F181" s="23">
        <v>2414.36</v>
      </c>
    </row>
    <row r="182" spans="1:6" ht="48.75" customHeight="1">
      <c r="A182" s="13" t="str">
        <f t="shared" si="2"/>
        <v>ORD81761</v>
      </c>
      <c r="B182" s="21" t="s">
        <v>49</v>
      </c>
      <c r="C182" s="6" t="s">
        <v>7</v>
      </c>
      <c r="D182" s="6" t="s">
        <v>42</v>
      </c>
      <c r="E182" s="7">
        <v>45451</v>
      </c>
      <c r="F182" s="23">
        <v>29751.94</v>
      </c>
    </row>
    <row r="183" spans="1:6" ht="48.75" customHeight="1">
      <c r="A183" s="13" t="str">
        <f t="shared" si="2"/>
        <v>ORD81762</v>
      </c>
      <c r="B183" s="21" t="s">
        <v>44</v>
      </c>
      <c r="C183" s="6" t="s">
        <v>7</v>
      </c>
      <c r="D183" s="6" t="s">
        <v>304</v>
      </c>
      <c r="E183" s="7">
        <v>45549</v>
      </c>
      <c r="F183" s="23">
        <v>16965.32</v>
      </c>
    </row>
    <row r="184" spans="1:6" ht="48.75" customHeight="1">
      <c r="A184" s="13" t="str">
        <f t="shared" si="2"/>
        <v>ORD81763</v>
      </c>
      <c r="B184" s="21" t="s">
        <v>41</v>
      </c>
      <c r="C184" s="6" t="s">
        <v>7</v>
      </c>
      <c r="D184" s="6" t="s">
        <v>42</v>
      </c>
      <c r="E184" s="7">
        <v>45302</v>
      </c>
      <c r="F184" s="23">
        <v>18424.05</v>
      </c>
    </row>
    <row r="185" spans="1:6" ht="48.75" customHeight="1">
      <c r="A185" s="13" t="str">
        <f t="shared" si="2"/>
        <v>ORD81764</v>
      </c>
      <c r="B185" s="21" t="s">
        <v>41</v>
      </c>
      <c r="C185" s="6" t="s">
        <v>7</v>
      </c>
      <c r="D185" s="6" t="s">
        <v>305</v>
      </c>
      <c r="E185" s="7">
        <v>45427</v>
      </c>
      <c r="F185" s="23">
        <v>32918.620000000003</v>
      </c>
    </row>
    <row r="186" spans="1:6" ht="48.75" customHeight="1">
      <c r="A186" s="13" t="str">
        <f t="shared" si="2"/>
        <v>ORD81765</v>
      </c>
      <c r="B186" s="21" t="s">
        <v>46</v>
      </c>
      <c r="C186" s="6" t="s">
        <v>7</v>
      </c>
      <c r="D186" s="6" t="s">
        <v>304</v>
      </c>
      <c r="E186" s="7">
        <v>45331</v>
      </c>
      <c r="F186" s="23">
        <v>44983.42</v>
      </c>
    </row>
    <row r="187" spans="1:6" ht="48.75" customHeight="1">
      <c r="A187" s="13" t="str">
        <f t="shared" si="2"/>
        <v>ORD81766</v>
      </c>
      <c r="B187" s="21" t="s">
        <v>46</v>
      </c>
      <c r="C187" s="6" t="s">
        <v>7</v>
      </c>
      <c r="D187" s="6" t="s">
        <v>42</v>
      </c>
      <c r="E187" s="7">
        <v>45593</v>
      </c>
      <c r="F187" s="23">
        <v>10427.94</v>
      </c>
    </row>
    <row r="188" spans="1:6" ht="48.75" customHeight="1">
      <c r="A188" s="13" t="str">
        <f t="shared" si="2"/>
        <v>ORD81767</v>
      </c>
      <c r="B188" s="21" t="s">
        <v>44</v>
      </c>
      <c r="C188" s="6" t="s">
        <v>7</v>
      </c>
      <c r="D188" s="6" t="s">
        <v>305</v>
      </c>
      <c r="E188" s="7">
        <v>45511</v>
      </c>
      <c r="F188" s="23">
        <v>14409.46</v>
      </c>
    </row>
    <row r="189" spans="1:6" ht="48.75" customHeight="1">
      <c r="A189" s="13" t="str">
        <f t="shared" si="2"/>
        <v>ORD81768</v>
      </c>
      <c r="B189" s="21" t="s">
        <v>41</v>
      </c>
      <c r="C189" s="6" t="s">
        <v>7</v>
      </c>
      <c r="D189" s="6" t="s">
        <v>305</v>
      </c>
      <c r="E189" s="7">
        <v>45388</v>
      </c>
      <c r="F189" s="23">
        <v>47626.49</v>
      </c>
    </row>
    <row r="190" spans="1:6" ht="48.75" customHeight="1">
      <c r="A190" s="13" t="str">
        <f t="shared" si="2"/>
        <v>ORD81769</v>
      </c>
      <c r="B190" s="21" t="s">
        <v>41</v>
      </c>
      <c r="C190" s="6" t="s">
        <v>7</v>
      </c>
      <c r="D190" s="6" t="s">
        <v>303</v>
      </c>
      <c r="E190" s="7">
        <v>45524</v>
      </c>
      <c r="F190" s="23">
        <v>3482.88</v>
      </c>
    </row>
    <row r="191" spans="1:6" ht="48.75" customHeight="1">
      <c r="A191" s="13" t="str">
        <f t="shared" si="2"/>
        <v>ORD81770</v>
      </c>
      <c r="B191" s="21" t="s">
        <v>46</v>
      </c>
      <c r="C191" s="6" t="s">
        <v>7</v>
      </c>
      <c r="D191" s="6" t="s">
        <v>303</v>
      </c>
      <c r="E191" s="7">
        <v>45547</v>
      </c>
      <c r="F191" s="23">
        <v>40594.910000000003</v>
      </c>
    </row>
    <row r="192" spans="1:6" ht="48.75" customHeight="1">
      <c r="A192" s="13" t="str">
        <f t="shared" si="2"/>
        <v>ORD81771</v>
      </c>
      <c r="B192" s="21" t="s">
        <v>41</v>
      </c>
      <c r="C192" s="6" t="s">
        <v>7</v>
      </c>
      <c r="D192" s="6" t="s">
        <v>303</v>
      </c>
      <c r="E192" s="7">
        <v>45426</v>
      </c>
      <c r="F192" s="23">
        <v>11491.26</v>
      </c>
    </row>
    <row r="193" spans="1:6" ht="48.75" customHeight="1">
      <c r="A193" s="13" t="str">
        <f t="shared" si="2"/>
        <v>ORD81772</v>
      </c>
      <c r="B193" s="21" t="s">
        <v>41</v>
      </c>
      <c r="C193" s="6" t="s">
        <v>7</v>
      </c>
      <c r="D193" s="6" t="s">
        <v>305</v>
      </c>
      <c r="E193" s="7">
        <v>45467</v>
      </c>
      <c r="F193" s="23">
        <v>20956.79</v>
      </c>
    </row>
    <row r="194" spans="1:6" ht="48.75" customHeight="1">
      <c r="A194" s="13" t="str">
        <f t="shared" si="2"/>
        <v>ORD81773</v>
      </c>
      <c r="B194" s="21" t="s">
        <v>49</v>
      </c>
      <c r="C194" s="6" t="s">
        <v>7</v>
      </c>
      <c r="D194" s="6" t="s">
        <v>304</v>
      </c>
      <c r="E194" s="7">
        <v>45499</v>
      </c>
      <c r="F194" s="23">
        <v>35833.03</v>
      </c>
    </row>
    <row r="195" spans="1:6" ht="48.75" customHeight="1">
      <c r="A195" s="13" t="str">
        <f t="shared" si="2"/>
        <v>ORD81774</v>
      </c>
      <c r="B195" s="21" t="s">
        <v>44</v>
      </c>
      <c r="C195" s="6" t="s">
        <v>7</v>
      </c>
      <c r="D195" s="6" t="s">
        <v>303</v>
      </c>
      <c r="E195" s="7">
        <v>45598</v>
      </c>
      <c r="F195" s="23">
        <v>8690.9500000000007</v>
      </c>
    </row>
    <row r="196" spans="1:6" ht="48.75" customHeight="1">
      <c r="A196" s="13" t="str">
        <f t="shared" ref="A196:A251" si="3">"ORD" &amp; TEXT(RIGHT(A195,5) +1, "00000")</f>
        <v>ORD81775</v>
      </c>
      <c r="B196" s="21" t="s">
        <v>41</v>
      </c>
      <c r="C196" s="6" t="s">
        <v>7</v>
      </c>
      <c r="D196" s="6" t="s">
        <v>304</v>
      </c>
      <c r="E196" s="7">
        <v>45576</v>
      </c>
      <c r="F196" s="23">
        <v>6597.48</v>
      </c>
    </row>
    <row r="197" spans="1:6" ht="48.75" customHeight="1">
      <c r="A197" s="13" t="str">
        <f t="shared" si="3"/>
        <v>ORD81776</v>
      </c>
      <c r="B197" s="21" t="s">
        <v>49</v>
      </c>
      <c r="C197" s="6" t="s">
        <v>7</v>
      </c>
      <c r="D197" s="6" t="s">
        <v>304</v>
      </c>
      <c r="E197" s="7">
        <v>45294</v>
      </c>
      <c r="F197" s="23">
        <v>28328.38</v>
      </c>
    </row>
    <row r="198" spans="1:6" ht="48.75" customHeight="1">
      <c r="A198" s="13" t="str">
        <f t="shared" si="3"/>
        <v>ORD81777</v>
      </c>
      <c r="B198" s="21" t="s">
        <v>41</v>
      </c>
      <c r="C198" s="6" t="s">
        <v>7</v>
      </c>
      <c r="D198" s="6" t="s">
        <v>305</v>
      </c>
      <c r="E198" s="7">
        <v>45371</v>
      </c>
      <c r="F198" s="23">
        <v>49133.36</v>
      </c>
    </row>
    <row r="199" spans="1:6" ht="48.75" customHeight="1">
      <c r="A199" s="13" t="str">
        <f t="shared" si="3"/>
        <v>ORD81778</v>
      </c>
      <c r="B199" s="21" t="s">
        <v>49</v>
      </c>
      <c r="C199" s="6" t="s">
        <v>7</v>
      </c>
      <c r="D199" s="6" t="s">
        <v>305</v>
      </c>
      <c r="E199" s="7">
        <v>45313</v>
      </c>
      <c r="F199" s="23">
        <v>10649.14</v>
      </c>
    </row>
    <row r="200" spans="1:6" ht="48.75" customHeight="1">
      <c r="A200" s="13" t="str">
        <f t="shared" si="3"/>
        <v>ORD81779</v>
      </c>
      <c r="B200" s="21" t="s">
        <v>44</v>
      </c>
      <c r="C200" s="6" t="s">
        <v>7</v>
      </c>
      <c r="D200" s="6" t="s">
        <v>304</v>
      </c>
      <c r="E200" s="7">
        <v>45583</v>
      </c>
      <c r="F200" s="23">
        <v>19893.009999999998</v>
      </c>
    </row>
    <row r="201" spans="1:6" ht="48.75" customHeight="1">
      <c r="A201" s="13" t="str">
        <f t="shared" si="3"/>
        <v>ORD81780</v>
      </c>
      <c r="B201" s="21" t="s">
        <v>44</v>
      </c>
      <c r="C201" s="6" t="s">
        <v>7</v>
      </c>
      <c r="D201" s="6" t="s">
        <v>305</v>
      </c>
      <c r="E201" s="7">
        <v>45331</v>
      </c>
      <c r="F201" s="23">
        <v>21023.33</v>
      </c>
    </row>
    <row r="202" spans="1:6" ht="48.75" customHeight="1">
      <c r="A202" s="13" t="str">
        <f t="shared" si="3"/>
        <v>ORD81781</v>
      </c>
      <c r="B202" s="21" t="s">
        <v>44</v>
      </c>
      <c r="C202" s="6" t="s">
        <v>7</v>
      </c>
      <c r="D202" s="6" t="s">
        <v>303</v>
      </c>
      <c r="E202" s="7">
        <v>45497</v>
      </c>
      <c r="F202" s="23">
        <v>31967.32</v>
      </c>
    </row>
    <row r="203" spans="1:6" ht="48.75" customHeight="1">
      <c r="A203" s="13" t="str">
        <f t="shared" si="3"/>
        <v>ORD81782</v>
      </c>
      <c r="B203" s="21" t="s">
        <v>41</v>
      </c>
      <c r="C203" s="6" t="s">
        <v>7</v>
      </c>
      <c r="D203" s="6" t="s">
        <v>304</v>
      </c>
      <c r="E203" s="7">
        <v>45282</v>
      </c>
      <c r="F203" s="23">
        <v>16927.240000000002</v>
      </c>
    </row>
    <row r="204" spans="1:6" ht="48.75" customHeight="1">
      <c r="A204" s="13" t="str">
        <f t="shared" si="3"/>
        <v>ORD81783</v>
      </c>
      <c r="B204" s="21" t="s">
        <v>49</v>
      </c>
      <c r="C204" s="6" t="s">
        <v>7</v>
      </c>
      <c r="D204" s="6" t="s">
        <v>303</v>
      </c>
      <c r="E204" s="7">
        <v>45487</v>
      </c>
      <c r="F204" s="23">
        <v>31551.19</v>
      </c>
    </row>
    <row r="205" spans="1:6" ht="48.75" customHeight="1">
      <c r="A205" s="13" t="str">
        <f t="shared" si="3"/>
        <v>ORD81784</v>
      </c>
      <c r="B205" s="21" t="s">
        <v>44</v>
      </c>
      <c r="C205" s="6" t="s">
        <v>7</v>
      </c>
      <c r="D205" s="6" t="s">
        <v>304</v>
      </c>
      <c r="E205" s="7">
        <v>45288</v>
      </c>
      <c r="F205" s="23">
        <v>30337.43</v>
      </c>
    </row>
    <row r="206" spans="1:6" ht="48.75" customHeight="1">
      <c r="A206" s="13" t="str">
        <f t="shared" si="3"/>
        <v>ORD81785</v>
      </c>
      <c r="B206" s="21" t="s">
        <v>49</v>
      </c>
      <c r="C206" s="6" t="s">
        <v>7</v>
      </c>
      <c r="D206" s="6" t="s">
        <v>42</v>
      </c>
      <c r="E206" s="7">
        <v>45572</v>
      </c>
      <c r="F206" s="23">
        <v>10593.8</v>
      </c>
    </row>
    <row r="207" spans="1:6" ht="48.75" customHeight="1">
      <c r="A207" s="13" t="str">
        <f t="shared" si="3"/>
        <v>ORD81786</v>
      </c>
      <c r="B207" s="21" t="s">
        <v>41</v>
      </c>
      <c r="C207" s="6" t="s">
        <v>7</v>
      </c>
      <c r="D207" s="6" t="s">
        <v>303</v>
      </c>
      <c r="E207" s="7">
        <v>45355</v>
      </c>
      <c r="F207" s="23">
        <v>28394.06</v>
      </c>
    </row>
    <row r="208" spans="1:6" ht="48.75" customHeight="1">
      <c r="A208" s="13" t="str">
        <f t="shared" si="3"/>
        <v>ORD81787</v>
      </c>
      <c r="B208" s="21" t="s">
        <v>46</v>
      </c>
      <c r="C208" s="6" t="s">
        <v>7</v>
      </c>
      <c r="D208" s="6" t="s">
        <v>303</v>
      </c>
      <c r="E208" s="7">
        <v>45283</v>
      </c>
      <c r="F208" s="23">
        <v>3450.5</v>
      </c>
    </row>
    <row r="209" spans="1:6" ht="48.75" customHeight="1">
      <c r="A209" s="13" t="str">
        <f t="shared" si="3"/>
        <v>ORD81788</v>
      </c>
      <c r="B209" s="21" t="s">
        <v>44</v>
      </c>
      <c r="C209" s="6" t="s">
        <v>7</v>
      </c>
      <c r="D209" s="6" t="s">
        <v>304</v>
      </c>
      <c r="E209" s="7">
        <v>45380</v>
      </c>
      <c r="F209" s="23">
        <v>1123.98</v>
      </c>
    </row>
    <row r="210" spans="1:6" ht="48.75" customHeight="1">
      <c r="A210" s="13" t="str">
        <f t="shared" si="3"/>
        <v>ORD81789</v>
      </c>
      <c r="B210" s="21" t="s">
        <v>44</v>
      </c>
      <c r="C210" s="6" t="s">
        <v>7</v>
      </c>
      <c r="D210" s="6" t="s">
        <v>303</v>
      </c>
      <c r="E210" s="7">
        <v>45596</v>
      </c>
      <c r="F210" s="23">
        <v>29496.639999999999</v>
      </c>
    </row>
    <row r="211" spans="1:6" ht="48.75" customHeight="1">
      <c r="A211" s="13" t="str">
        <f t="shared" si="3"/>
        <v>ORD81790</v>
      </c>
      <c r="B211" s="21" t="s">
        <v>44</v>
      </c>
      <c r="C211" s="6" t="s">
        <v>7</v>
      </c>
      <c r="D211" s="6" t="s">
        <v>304</v>
      </c>
      <c r="E211" s="7">
        <v>45332</v>
      </c>
      <c r="F211" s="23">
        <v>11157.57</v>
      </c>
    </row>
    <row r="212" spans="1:6" ht="48.75" customHeight="1">
      <c r="A212" s="13" t="str">
        <f t="shared" si="3"/>
        <v>ORD81791</v>
      </c>
      <c r="B212" s="21" t="s">
        <v>46</v>
      </c>
      <c r="C212" s="6" t="s">
        <v>7</v>
      </c>
      <c r="D212" s="6" t="s">
        <v>304</v>
      </c>
      <c r="E212" s="7">
        <v>45286</v>
      </c>
      <c r="F212" s="23">
        <v>39943.21</v>
      </c>
    </row>
    <row r="213" spans="1:6" ht="48.75" customHeight="1">
      <c r="A213" s="13" t="str">
        <f t="shared" si="3"/>
        <v>ORD81792</v>
      </c>
      <c r="B213" s="21" t="s">
        <v>44</v>
      </c>
      <c r="C213" s="6" t="s">
        <v>7</v>
      </c>
      <c r="D213" s="6" t="s">
        <v>303</v>
      </c>
      <c r="E213" s="7">
        <v>45578</v>
      </c>
      <c r="F213" s="23">
        <v>29970.99</v>
      </c>
    </row>
    <row r="214" spans="1:6" ht="48.75" customHeight="1">
      <c r="A214" s="13" t="str">
        <f t="shared" si="3"/>
        <v>ORD81793</v>
      </c>
      <c r="B214" s="21" t="s">
        <v>41</v>
      </c>
      <c r="C214" s="6" t="s">
        <v>7</v>
      </c>
      <c r="D214" s="6" t="s">
        <v>303</v>
      </c>
      <c r="E214" s="7">
        <v>45598</v>
      </c>
      <c r="F214" s="23">
        <v>2044.96</v>
      </c>
    </row>
    <row r="215" spans="1:6" ht="48.75" customHeight="1">
      <c r="A215" s="13" t="str">
        <f t="shared" si="3"/>
        <v>ORD81794</v>
      </c>
      <c r="B215" s="21" t="s">
        <v>44</v>
      </c>
      <c r="C215" s="6" t="s">
        <v>7</v>
      </c>
      <c r="D215" s="6" t="s">
        <v>304</v>
      </c>
      <c r="E215" s="7">
        <v>45311</v>
      </c>
      <c r="F215" s="23">
        <v>20494.05</v>
      </c>
    </row>
    <row r="216" spans="1:6" ht="48.75" customHeight="1">
      <c r="A216" s="13" t="str">
        <f t="shared" si="3"/>
        <v>ORD81795</v>
      </c>
      <c r="B216" s="21" t="s">
        <v>49</v>
      </c>
      <c r="C216" s="6" t="s">
        <v>7</v>
      </c>
      <c r="D216" s="6" t="s">
        <v>303</v>
      </c>
      <c r="E216" s="7">
        <v>45326</v>
      </c>
      <c r="F216" s="23">
        <v>39458.76</v>
      </c>
    </row>
    <row r="217" spans="1:6" ht="48.75" customHeight="1">
      <c r="A217" s="13" t="str">
        <f t="shared" si="3"/>
        <v>ORD81796</v>
      </c>
      <c r="B217" s="21" t="s">
        <v>49</v>
      </c>
      <c r="C217" s="6" t="s">
        <v>7</v>
      </c>
      <c r="D217" s="6" t="s">
        <v>304</v>
      </c>
      <c r="E217" s="7">
        <v>45429</v>
      </c>
      <c r="F217" s="23">
        <v>7032.89</v>
      </c>
    </row>
    <row r="218" spans="1:6" ht="48.75" customHeight="1">
      <c r="A218" s="13" t="str">
        <f t="shared" si="3"/>
        <v>ORD81797</v>
      </c>
      <c r="B218" s="21" t="s">
        <v>41</v>
      </c>
      <c r="C218" s="6" t="s">
        <v>7</v>
      </c>
      <c r="D218" s="6" t="s">
        <v>303</v>
      </c>
      <c r="E218" s="7">
        <v>45615</v>
      </c>
      <c r="F218" s="23">
        <v>35081.46</v>
      </c>
    </row>
    <row r="219" spans="1:6" ht="48.75" customHeight="1">
      <c r="A219" s="13" t="str">
        <f t="shared" si="3"/>
        <v>ORD81798</v>
      </c>
      <c r="B219" s="21" t="s">
        <v>46</v>
      </c>
      <c r="C219" s="6" t="s">
        <v>7</v>
      </c>
      <c r="D219" s="6" t="s">
        <v>305</v>
      </c>
      <c r="E219" s="7">
        <v>45623</v>
      </c>
      <c r="F219" s="23">
        <v>48705</v>
      </c>
    </row>
    <row r="220" spans="1:6" ht="48.75" customHeight="1">
      <c r="A220" s="13" t="str">
        <f t="shared" si="3"/>
        <v>ORD81799</v>
      </c>
      <c r="B220" s="21" t="s">
        <v>41</v>
      </c>
      <c r="C220" s="6" t="s">
        <v>7</v>
      </c>
      <c r="D220" s="6" t="s">
        <v>42</v>
      </c>
      <c r="E220" s="7">
        <v>45526</v>
      </c>
      <c r="F220" s="23">
        <v>37552.53</v>
      </c>
    </row>
    <row r="221" spans="1:6" ht="48.75" customHeight="1">
      <c r="A221" s="13" t="str">
        <f t="shared" si="3"/>
        <v>ORD81800</v>
      </c>
      <c r="B221" s="21" t="s">
        <v>41</v>
      </c>
      <c r="C221" s="6" t="s">
        <v>7</v>
      </c>
      <c r="D221" s="6" t="s">
        <v>305</v>
      </c>
      <c r="E221" s="7">
        <v>45482</v>
      </c>
      <c r="F221" s="23">
        <v>33441.71</v>
      </c>
    </row>
    <row r="222" spans="1:6" ht="48.75" customHeight="1">
      <c r="A222" s="13" t="str">
        <f t="shared" si="3"/>
        <v>ORD81801</v>
      </c>
      <c r="B222" s="21" t="s">
        <v>41</v>
      </c>
      <c r="C222" s="6" t="s">
        <v>7</v>
      </c>
      <c r="D222" s="6" t="s">
        <v>305</v>
      </c>
      <c r="E222" s="7">
        <v>45546</v>
      </c>
      <c r="F222" s="23">
        <v>23087.31</v>
      </c>
    </row>
    <row r="223" spans="1:6" ht="48.75" customHeight="1">
      <c r="A223" s="13" t="str">
        <f t="shared" si="3"/>
        <v>ORD81802</v>
      </c>
      <c r="B223" s="21" t="s">
        <v>49</v>
      </c>
      <c r="C223" s="6" t="s">
        <v>7</v>
      </c>
      <c r="D223" s="6" t="s">
        <v>305</v>
      </c>
      <c r="E223" s="7">
        <v>45390</v>
      </c>
      <c r="F223" s="23">
        <v>40029.57</v>
      </c>
    </row>
    <row r="224" spans="1:6" ht="48.75" customHeight="1">
      <c r="A224" s="13" t="str">
        <f t="shared" si="3"/>
        <v>ORD81803</v>
      </c>
      <c r="B224" s="21" t="s">
        <v>41</v>
      </c>
      <c r="C224" s="6" t="s">
        <v>7</v>
      </c>
      <c r="D224" s="6" t="s">
        <v>304</v>
      </c>
      <c r="E224" s="7">
        <v>45467</v>
      </c>
      <c r="F224" s="23">
        <v>20100.490000000002</v>
      </c>
    </row>
    <row r="225" spans="1:6" ht="48.75" customHeight="1">
      <c r="A225" s="13" t="str">
        <f t="shared" si="3"/>
        <v>ORD81804</v>
      </c>
      <c r="B225" s="21" t="s">
        <v>41</v>
      </c>
      <c r="C225" s="6" t="s">
        <v>7</v>
      </c>
      <c r="D225" s="6" t="s">
        <v>305</v>
      </c>
      <c r="E225" s="7">
        <v>45434</v>
      </c>
      <c r="F225" s="23">
        <v>10465.24</v>
      </c>
    </row>
    <row r="226" spans="1:6" ht="48.75" customHeight="1">
      <c r="A226" s="13" t="str">
        <f t="shared" si="3"/>
        <v>ORD81805</v>
      </c>
      <c r="B226" s="21" t="s">
        <v>46</v>
      </c>
      <c r="C226" s="6" t="s">
        <v>7</v>
      </c>
      <c r="D226" s="6" t="s">
        <v>303</v>
      </c>
      <c r="E226" s="7">
        <v>45628</v>
      </c>
      <c r="F226" s="23">
        <v>43107.43</v>
      </c>
    </row>
    <row r="227" spans="1:6" ht="48.75" customHeight="1">
      <c r="A227" s="13" t="str">
        <f t="shared" si="3"/>
        <v>ORD81806</v>
      </c>
      <c r="B227" s="21" t="s">
        <v>49</v>
      </c>
      <c r="C227" s="6" t="s">
        <v>7</v>
      </c>
      <c r="D227" s="6" t="s">
        <v>303</v>
      </c>
      <c r="E227" s="7">
        <v>45637</v>
      </c>
      <c r="F227" s="23">
        <v>23664.97</v>
      </c>
    </row>
    <row r="228" spans="1:6" ht="48.75" customHeight="1">
      <c r="A228" s="13" t="str">
        <f t="shared" si="3"/>
        <v>ORD81807</v>
      </c>
      <c r="B228" s="21" t="s">
        <v>46</v>
      </c>
      <c r="C228" s="6" t="s">
        <v>7</v>
      </c>
      <c r="D228" s="6" t="s">
        <v>303</v>
      </c>
      <c r="E228" s="7">
        <v>45643</v>
      </c>
      <c r="F228" s="23">
        <v>19541.46</v>
      </c>
    </row>
    <row r="229" spans="1:6" ht="48.75" customHeight="1">
      <c r="A229" s="13" t="str">
        <f t="shared" si="3"/>
        <v>ORD81808</v>
      </c>
      <c r="B229" s="21" t="s">
        <v>44</v>
      </c>
      <c r="C229" s="6" t="s">
        <v>7</v>
      </c>
      <c r="D229" s="6" t="s">
        <v>42</v>
      </c>
      <c r="E229" s="7">
        <v>45624</v>
      </c>
      <c r="F229" s="23">
        <v>38927.42</v>
      </c>
    </row>
    <row r="230" spans="1:6" ht="48.75" customHeight="1">
      <c r="A230" s="13" t="str">
        <f t="shared" si="3"/>
        <v>ORD81809</v>
      </c>
      <c r="B230" s="21" t="s">
        <v>46</v>
      </c>
      <c r="C230" s="6" t="s">
        <v>7</v>
      </c>
      <c r="D230" s="6" t="s">
        <v>303</v>
      </c>
      <c r="E230" s="7">
        <v>45591</v>
      </c>
      <c r="F230" s="23">
        <v>13149.99</v>
      </c>
    </row>
    <row r="231" spans="1:6" ht="48.75" customHeight="1">
      <c r="A231" s="13" t="str">
        <f t="shared" si="3"/>
        <v>ORD81810</v>
      </c>
      <c r="B231" s="21" t="s">
        <v>49</v>
      </c>
      <c r="C231" s="6" t="s">
        <v>7</v>
      </c>
      <c r="D231" s="6" t="s">
        <v>305</v>
      </c>
      <c r="E231" s="7">
        <v>45561</v>
      </c>
      <c r="F231" s="23">
        <v>2707.77</v>
      </c>
    </row>
    <row r="232" spans="1:6" ht="48.75" customHeight="1">
      <c r="A232" s="13" t="str">
        <f t="shared" si="3"/>
        <v>ORD81811</v>
      </c>
      <c r="B232" s="21" t="s">
        <v>41</v>
      </c>
      <c r="C232" s="6" t="s">
        <v>7</v>
      </c>
      <c r="D232" s="6" t="s">
        <v>42</v>
      </c>
      <c r="E232" s="7">
        <v>45456</v>
      </c>
      <c r="F232" s="23">
        <v>46910.92</v>
      </c>
    </row>
    <row r="233" spans="1:6" ht="48.75" customHeight="1">
      <c r="A233" s="13" t="str">
        <f t="shared" si="3"/>
        <v>ORD81812</v>
      </c>
      <c r="B233" s="21" t="s">
        <v>44</v>
      </c>
      <c r="C233" s="6" t="s">
        <v>7</v>
      </c>
      <c r="D233" s="6" t="s">
        <v>303</v>
      </c>
      <c r="E233" s="7">
        <v>45574</v>
      </c>
      <c r="F233" s="23">
        <v>1547.91</v>
      </c>
    </row>
    <row r="234" spans="1:6" ht="48.75" customHeight="1">
      <c r="A234" s="13" t="str">
        <f t="shared" si="3"/>
        <v>ORD81813</v>
      </c>
      <c r="B234" s="21" t="s">
        <v>49</v>
      </c>
      <c r="C234" s="6" t="s">
        <v>7</v>
      </c>
      <c r="D234" s="6" t="s">
        <v>42</v>
      </c>
      <c r="E234" s="7">
        <v>45521</v>
      </c>
      <c r="F234" s="23">
        <v>23640.67</v>
      </c>
    </row>
    <row r="235" spans="1:6" ht="48.75" customHeight="1">
      <c r="A235" s="13" t="str">
        <f t="shared" si="3"/>
        <v>ORD81814</v>
      </c>
      <c r="B235" s="21" t="s">
        <v>46</v>
      </c>
      <c r="C235" s="6" t="s">
        <v>7</v>
      </c>
      <c r="D235" s="6" t="s">
        <v>304</v>
      </c>
      <c r="E235" s="7">
        <v>45542</v>
      </c>
      <c r="F235" s="23">
        <v>48468.54</v>
      </c>
    </row>
    <row r="236" spans="1:6" ht="48.75" customHeight="1">
      <c r="A236" s="13" t="str">
        <f t="shared" si="3"/>
        <v>ORD81815</v>
      </c>
      <c r="B236" s="21" t="s">
        <v>49</v>
      </c>
      <c r="C236" s="6" t="s">
        <v>7</v>
      </c>
      <c r="D236" s="6" t="s">
        <v>305</v>
      </c>
      <c r="E236" s="7">
        <v>45533</v>
      </c>
      <c r="F236" s="23">
        <v>39451.01</v>
      </c>
    </row>
    <row r="237" spans="1:6" ht="48.75" customHeight="1">
      <c r="A237" s="13" t="str">
        <f t="shared" si="3"/>
        <v>ORD81816</v>
      </c>
      <c r="B237" s="21" t="s">
        <v>49</v>
      </c>
      <c r="C237" s="6" t="s">
        <v>7</v>
      </c>
      <c r="D237" s="6" t="s">
        <v>303</v>
      </c>
      <c r="E237" s="7">
        <v>45616</v>
      </c>
      <c r="F237" s="23">
        <v>43618.5</v>
      </c>
    </row>
    <row r="238" spans="1:6" ht="48.75" customHeight="1">
      <c r="A238" s="13" t="str">
        <f t="shared" si="3"/>
        <v>ORD81817</v>
      </c>
      <c r="B238" s="21" t="s">
        <v>41</v>
      </c>
      <c r="C238" s="6" t="s">
        <v>7</v>
      </c>
      <c r="D238" s="6" t="s">
        <v>42</v>
      </c>
      <c r="E238" s="7">
        <v>45330</v>
      </c>
      <c r="F238" s="23">
        <v>41926.089999999997</v>
      </c>
    </row>
    <row r="239" spans="1:6" ht="48.75" customHeight="1">
      <c r="A239" s="13" t="str">
        <f t="shared" si="3"/>
        <v>ORD81818</v>
      </c>
      <c r="B239" s="21" t="s">
        <v>41</v>
      </c>
      <c r="C239" s="6" t="s">
        <v>7</v>
      </c>
      <c r="D239" s="6" t="s">
        <v>304</v>
      </c>
      <c r="E239" s="7">
        <v>45325</v>
      </c>
      <c r="F239" s="23">
        <v>10334.26</v>
      </c>
    </row>
    <row r="240" spans="1:6" ht="48.75" customHeight="1">
      <c r="A240" s="13" t="str">
        <f t="shared" si="3"/>
        <v>ORD81819</v>
      </c>
      <c r="B240" s="21" t="s">
        <v>41</v>
      </c>
      <c r="C240" s="6" t="s">
        <v>7</v>
      </c>
      <c r="D240" s="6" t="s">
        <v>305</v>
      </c>
      <c r="E240" s="7">
        <v>45352</v>
      </c>
      <c r="F240" s="23">
        <v>34002.75</v>
      </c>
    </row>
    <row r="241" spans="1:6" ht="48.75" customHeight="1">
      <c r="A241" s="13" t="str">
        <f t="shared" si="3"/>
        <v>ORD81820</v>
      </c>
      <c r="B241" s="21" t="s">
        <v>41</v>
      </c>
      <c r="C241" s="6" t="s">
        <v>7</v>
      </c>
      <c r="D241" s="6" t="s">
        <v>42</v>
      </c>
      <c r="E241" s="7">
        <v>45618</v>
      </c>
      <c r="F241" s="23">
        <v>36429.85</v>
      </c>
    </row>
    <row r="242" spans="1:6" ht="48.75" customHeight="1">
      <c r="A242" s="13" t="str">
        <f t="shared" si="3"/>
        <v>ORD81821</v>
      </c>
      <c r="B242" s="21" t="s">
        <v>49</v>
      </c>
      <c r="C242" s="6" t="s">
        <v>7</v>
      </c>
      <c r="D242" s="6" t="s">
        <v>42</v>
      </c>
      <c r="E242" s="7">
        <v>45475</v>
      </c>
      <c r="F242" s="23">
        <v>25075.96</v>
      </c>
    </row>
    <row r="243" spans="1:6" ht="48.75" customHeight="1">
      <c r="A243" s="13" t="str">
        <f t="shared" si="3"/>
        <v>ORD81822</v>
      </c>
      <c r="B243" s="21" t="s">
        <v>44</v>
      </c>
      <c r="C243" s="6" t="s">
        <v>7</v>
      </c>
      <c r="D243" s="6" t="s">
        <v>305</v>
      </c>
      <c r="E243" s="7">
        <v>45345</v>
      </c>
      <c r="F243" s="23">
        <v>24020.69</v>
      </c>
    </row>
    <row r="244" spans="1:6" ht="48.75" customHeight="1">
      <c r="A244" s="13" t="str">
        <f t="shared" si="3"/>
        <v>ORD81823</v>
      </c>
      <c r="B244" s="21" t="s">
        <v>46</v>
      </c>
      <c r="C244" s="6" t="s">
        <v>7</v>
      </c>
      <c r="D244" s="6" t="s">
        <v>42</v>
      </c>
      <c r="E244" s="7">
        <v>45561</v>
      </c>
      <c r="F244" s="23">
        <v>19705.830000000002</v>
      </c>
    </row>
    <row r="245" spans="1:6" ht="48.75" customHeight="1">
      <c r="A245" s="13" t="str">
        <f t="shared" si="3"/>
        <v>ORD81824</v>
      </c>
      <c r="B245" s="21" t="s">
        <v>44</v>
      </c>
      <c r="C245" s="6" t="s">
        <v>7</v>
      </c>
      <c r="D245" s="6" t="s">
        <v>304</v>
      </c>
      <c r="E245" s="7">
        <v>45304</v>
      </c>
      <c r="F245" s="23">
        <v>14115.1</v>
      </c>
    </row>
    <row r="246" spans="1:6" ht="48.75" customHeight="1">
      <c r="A246" s="13" t="str">
        <f t="shared" si="3"/>
        <v>ORD81825</v>
      </c>
      <c r="B246" s="21" t="s">
        <v>44</v>
      </c>
      <c r="C246" s="6" t="s">
        <v>7</v>
      </c>
      <c r="D246" s="6" t="s">
        <v>42</v>
      </c>
      <c r="E246" s="7">
        <v>45373</v>
      </c>
      <c r="F246" s="23">
        <v>40792.449999999997</v>
      </c>
    </row>
    <row r="247" spans="1:6" ht="48.75" customHeight="1">
      <c r="A247" s="13" t="str">
        <f t="shared" si="3"/>
        <v>ORD81826</v>
      </c>
      <c r="B247" s="21" t="s">
        <v>49</v>
      </c>
      <c r="C247" s="6" t="s">
        <v>7</v>
      </c>
      <c r="D247" s="6" t="s">
        <v>305</v>
      </c>
      <c r="E247" s="7">
        <v>45278</v>
      </c>
      <c r="F247" s="23">
        <v>6599.8</v>
      </c>
    </row>
    <row r="248" spans="1:6" ht="48.75" customHeight="1">
      <c r="A248" s="13" t="str">
        <f t="shared" si="3"/>
        <v>ORD81827</v>
      </c>
      <c r="B248" s="21" t="s">
        <v>44</v>
      </c>
      <c r="C248" s="6" t="s">
        <v>7</v>
      </c>
      <c r="D248" s="6" t="s">
        <v>305</v>
      </c>
      <c r="E248" s="7">
        <v>45293</v>
      </c>
      <c r="F248" s="23">
        <v>3337.35</v>
      </c>
    </row>
    <row r="249" spans="1:6" ht="48.75" customHeight="1">
      <c r="A249" s="13" t="str">
        <f t="shared" si="3"/>
        <v>ORD81828</v>
      </c>
      <c r="B249" s="21" t="s">
        <v>44</v>
      </c>
      <c r="C249" s="6" t="s">
        <v>7</v>
      </c>
      <c r="D249" s="6" t="s">
        <v>305</v>
      </c>
      <c r="E249" s="7">
        <v>45292</v>
      </c>
      <c r="F249" s="23">
        <v>5893.3</v>
      </c>
    </row>
    <row r="250" spans="1:6" ht="48.75" customHeight="1">
      <c r="A250" s="13" t="str">
        <f t="shared" si="3"/>
        <v>ORD81829</v>
      </c>
      <c r="B250" s="21" t="s">
        <v>41</v>
      </c>
      <c r="C250" s="6" t="s">
        <v>7</v>
      </c>
      <c r="D250" s="6" t="s">
        <v>42</v>
      </c>
      <c r="E250" s="7">
        <v>45589</v>
      </c>
      <c r="F250" s="23">
        <v>12155.95</v>
      </c>
    </row>
    <row r="251" spans="1:6" ht="48.75" customHeight="1">
      <c r="A251" s="13" t="str">
        <f t="shared" si="3"/>
        <v>ORD81830</v>
      </c>
      <c r="B251" s="21" t="s">
        <v>41</v>
      </c>
      <c r="C251" s="6" t="s">
        <v>7</v>
      </c>
      <c r="D251" s="6" t="s">
        <v>42</v>
      </c>
      <c r="E251" s="7">
        <v>45404</v>
      </c>
      <c r="F251" s="23">
        <v>32951.730000000003</v>
      </c>
    </row>
  </sheetData>
  <conditionalFormatting sqref="A1:A1048576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2CF3-ADD5-44BC-B96B-63336B7BAF2A}">
  <dimension ref="A1:G251"/>
  <sheetViews>
    <sheetView tabSelected="1" workbookViewId="0">
      <selection activeCell="G3" sqref="G3"/>
    </sheetView>
  </sheetViews>
  <sheetFormatPr defaultColWidth="26.5703125" defaultRowHeight="42.75" customHeight="1"/>
  <sheetData>
    <row r="1" spans="1:7" ht="42.75" customHeight="1">
      <c r="A1" s="5" t="s">
        <v>306</v>
      </c>
      <c r="B1" s="5" t="s">
        <v>33</v>
      </c>
      <c r="C1" s="5" t="s">
        <v>34</v>
      </c>
      <c r="D1" s="5" t="s">
        <v>307</v>
      </c>
      <c r="E1" s="5" t="s">
        <v>308</v>
      </c>
      <c r="F1" s="5" t="s">
        <v>309</v>
      </c>
      <c r="G1" s="5" t="s">
        <v>310</v>
      </c>
    </row>
    <row r="2" spans="1:7" ht="42.75" customHeight="1">
      <c r="A2" s="29" t="s">
        <v>311</v>
      </c>
      <c r="B2" s="29" t="s">
        <v>40</v>
      </c>
      <c r="C2" s="25" t="s">
        <v>41</v>
      </c>
      <c r="D2" s="34">
        <v>45420</v>
      </c>
      <c r="E2" s="34">
        <v>45615</v>
      </c>
      <c r="F2" s="29" t="s">
        <v>303</v>
      </c>
      <c r="G2" s="29" t="s">
        <v>312</v>
      </c>
    </row>
    <row r="3" spans="1:7" ht="42.75" customHeight="1">
      <c r="A3" s="6" t="s">
        <v>313</v>
      </c>
      <c r="B3" s="6" t="str">
        <f>"ORD" &amp; TEXT(RIGHT(B2,5) +1, "00000")</f>
        <v>ORD81582</v>
      </c>
      <c r="C3" s="23" t="s">
        <v>44</v>
      </c>
      <c r="D3" s="7">
        <v>45507</v>
      </c>
      <c r="E3" s="7">
        <v>45305</v>
      </c>
      <c r="F3" s="6" t="s">
        <v>303</v>
      </c>
      <c r="G3" s="6" t="s">
        <v>314</v>
      </c>
    </row>
    <row r="4" spans="1:7" ht="42.75" customHeight="1">
      <c r="A4" s="6" t="s">
        <v>315</v>
      </c>
      <c r="B4" s="6" t="str">
        <f t="shared" ref="B4:B67" si="0">"ORD" &amp; TEXT(RIGHT(B3,5) +1, "00000")</f>
        <v>ORD81583</v>
      </c>
      <c r="C4" s="23" t="s">
        <v>46</v>
      </c>
      <c r="D4" s="7">
        <v>45635</v>
      </c>
      <c r="E4" s="7">
        <v>45600</v>
      </c>
      <c r="F4" s="6" t="s">
        <v>303</v>
      </c>
      <c r="G4" s="6" t="s">
        <v>316</v>
      </c>
    </row>
    <row r="5" spans="1:7" ht="42.75" customHeight="1">
      <c r="A5" s="6" t="s">
        <v>317</v>
      </c>
      <c r="B5" s="6" t="str">
        <f t="shared" si="0"/>
        <v>ORD81584</v>
      </c>
      <c r="C5" s="23" t="s">
        <v>49</v>
      </c>
      <c r="D5" s="7">
        <v>45518</v>
      </c>
      <c r="E5" s="7">
        <v>45470</v>
      </c>
      <c r="F5" s="6" t="s">
        <v>318</v>
      </c>
      <c r="G5" s="6" t="s">
        <v>319</v>
      </c>
    </row>
    <row r="6" spans="1:7" ht="42.75" customHeight="1">
      <c r="A6" s="6" t="s">
        <v>320</v>
      </c>
      <c r="B6" s="6" t="str">
        <f t="shared" si="0"/>
        <v>ORD81585</v>
      </c>
      <c r="C6" s="23" t="s">
        <v>52</v>
      </c>
      <c r="D6" s="7">
        <v>45299</v>
      </c>
      <c r="E6" s="7">
        <v>45488</v>
      </c>
      <c r="F6" s="6" t="s">
        <v>321</v>
      </c>
      <c r="G6" s="6" t="s">
        <v>322</v>
      </c>
    </row>
    <row r="7" spans="1:7" ht="42.75" customHeight="1">
      <c r="A7" s="6" t="s">
        <v>323</v>
      </c>
      <c r="B7" s="6" t="str">
        <f t="shared" si="0"/>
        <v>ORD81586</v>
      </c>
      <c r="C7" s="23" t="s">
        <v>54</v>
      </c>
      <c r="D7" s="7">
        <v>45626</v>
      </c>
      <c r="E7" s="7">
        <v>45475</v>
      </c>
      <c r="F7" s="6" t="s">
        <v>303</v>
      </c>
      <c r="G7" s="6" t="s">
        <v>324</v>
      </c>
    </row>
    <row r="8" spans="1:7" ht="42.75" customHeight="1">
      <c r="A8" s="6" t="s">
        <v>325</v>
      </c>
      <c r="B8" s="6" t="str">
        <f t="shared" si="0"/>
        <v>ORD81587</v>
      </c>
      <c r="C8" s="23" t="s">
        <v>41</v>
      </c>
      <c r="D8" s="7">
        <v>45282</v>
      </c>
      <c r="E8" s="7">
        <v>45584</v>
      </c>
      <c r="F8" s="6" t="s">
        <v>303</v>
      </c>
      <c r="G8" s="6" t="s">
        <v>326</v>
      </c>
    </row>
    <row r="9" spans="1:7" ht="42.75" customHeight="1">
      <c r="A9" s="6" t="s">
        <v>327</v>
      </c>
      <c r="B9" s="6" t="str">
        <f t="shared" si="0"/>
        <v>ORD81588</v>
      </c>
      <c r="C9" s="23" t="s">
        <v>44</v>
      </c>
      <c r="D9" s="7">
        <v>45624</v>
      </c>
      <c r="E9" s="7">
        <v>45389</v>
      </c>
      <c r="F9" s="6" t="s">
        <v>321</v>
      </c>
      <c r="G9" s="6" t="s">
        <v>328</v>
      </c>
    </row>
    <row r="10" spans="1:7" ht="42.75" customHeight="1">
      <c r="A10" s="6" t="s">
        <v>329</v>
      </c>
      <c r="B10" s="6" t="str">
        <f t="shared" si="0"/>
        <v>ORD81589</v>
      </c>
      <c r="C10" s="23" t="s">
        <v>44</v>
      </c>
      <c r="D10" s="7">
        <v>45397</v>
      </c>
      <c r="E10" s="7">
        <v>45533</v>
      </c>
      <c r="F10" s="6" t="s">
        <v>303</v>
      </c>
      <c r="G10" s="6" t="s">
        <v>330</v>
      </c>
    </row>
    <row r="11" spans="1:7" ht="42.75" customHeight="1">
      <c r="A11" s="6" t="s">
        <v>331</v>
      </c>
      <c r="B11" s="6" t="str">
        <f t="shared" si="0"/>
        <v>ORD81590</v>
      </c>
      <c r="C11" s="23" t="s">
        <v>49</v>
      </c>
      <c r="D11" s="7">
        <v>45574</v>
      </c>
      <c r="E11" s="7">
        <v>45526</v>
      </c>
      <c r="F11" s="6" t="s">
        <v>318</v>
      </c>
      <c r="G11" s="6" t="s">
        <v>332</v>
      </c>
    </row>
    <row r="12" spans="1:7" ht="42.75" customHeight="1">
      <c r="A12" s="6" t="s">
        <v>333</v>
      </c>
      <c r="B12" s="6" t="str">
        <f t="shared" si="0"/>
        <v>ORD81591</v>
      </c>
      <c r="C12" s="23" t="s">
        <v>49</v>
      </c>
      <c r="D12" s="7">
        <v>45351</v>
      </c>
      <c r="E12" s="7">
        <v>45335</v>
      </c>
      <c r="F12" s="6" t="s">
        <v>321</v>
      </c>
      <c r="G12" s="6" t="s">
        <v>334</v>
      </c>
    </row>
    <row r="13" spans="1:7" ht="42.75" customHeight="1">
      <c r="A13" s="6" t="s">
        <v>335</v>
      </c>
      <c r="B13" s="6" t="str">
        <f t="shared" si="0"/>
        <v>ORD81592</v>
      </c>
      <c r="C13" s="23" t="s">
        <v>44</v>
      </c>
      <c r="D13" s="7">
        <v>45603</v>
      </c>
      <c r="E13" s="7">
        <v>45334</v>
      </c>
      <c r="F13" s="6" t="s">
        <v>318</v>
      </c>
      <c r="G13" s="6" t="s">
        <v>336</v>
      </c>
    </row>
    <row r="14" spans="1:7" ht="42.75" customHeight="1">
      <c r="A14" s="6" t="s">
        <v>337</v>
      </c>
      <c r="B14" s="6" t="str">
        <f t="shared" si="0"/>
        <v>ORD81593</v>
      </c>
      <c r="C14" s="23" t="s">
        <v>44</v>
      </c>
      <c r="D14" s="7">
        <v>45518</v>
      </c>
      <c r="E14" s="7">
        <v>45301</v>
      </c>
      <c r="F14" s="6" t="s">
        <v>321</v>
      </c>
      <c r="G14" s="6" t="s">
        <v>338</v>
      </c>
    </row>
    <row r="15" spans="1:7" ht="42.75" customHeight="1">
      <c r="A15" s="6" t="s">
        <v>339</v>
      </c>
      <c r="B15" s="6" t="str">
        <f t="shared" si="0"/>
        <v>ORD81594</v>
      </c>
      <c r="C15" s="23" t="s">
        <v>49</v>
      </c>
      <c r="D15" s="7">
        <v>45624</v>
      </c>
      <c r="E15" s="7">
        <v>45585</v>
      </c>
      <c r="F15" s="6" t="s">
        <v>303</v>
      </c>
      <c r="G15" s="6" t="s">
        <v>340</v>
      </c>
    </row>
    <row r="16" spans="1:7" ht="42.75" customHeight="1">
      <c r="A16" s="6" t="s">
        <v>341</v>
      </c>
      <c r="B16" s="6" t="str">
        <f t="shared" si="0"/>
        <v>ORD81595</v>
      </c>
      <c r="C16" s="23" t="s">
        <v>44</v>
      </c>
      <c r="D16" s="7">
        <v>45379</v>
      </c>
      <c r="E16" s="7">
        <v>45278</v>
      </c>
      <c r="F16" s="6" t="s">
        <v>303</v>
      </c>
      <c r="G16" s="6" t="s">
        <v>342</v>
      </c>
    </row>
    <row r="17" spans="1:7" ht="42.75" customHeight="1">
      <c r="A17" s="6" t="s">
        <v>343</v>
      </c>
      <c r="B17" s="6" t="str">
        <f t="shared" si="0"/>
        <v>ORD81596</v>
      </c>
      <c r="C17" s="23" t="s">
        <v>41</v>
      </c>
      <c r="D17" s="7">
        <v>45602</v>
      </c>
      <c r="E17" s="7">
        <v>45556</v>
      </c>
      <c r="F17" s="6" t="s">
        <v>303</v>
      </c>
      <c r="G17" s="6" t="s">
        <v>344</v>
      </c>
    </row>
    <row r="18" spans="1:7" ht="42.75" customHeight="1">
      <c r="A18" s="6" t="s">
        <v>345</v>
      </c>
      <c r="B18" s="6" t="str">
        <f t="shared" si="0"/>
        <v>ORD81597</v>
      </c>
      <c r="C18" s="23" t="s">
        <v>46</v>
      </c>
      <c r="D18" s="7">
        <v>45487</v>
      </c>
      <c r="E18" s="7">
        <v>45441</v>
      </c>
      <c r="F18" s="6" t="s">
        <v>321</v>
      </c>
      <c r="G18" s="6" t="s">
        <v>346</v>
      </c>
    </row>
    <row r="19" spans="1:7" ht="42.75" customHeight="1">
      <c r="A19" s="6" t="s">
        <v>347</v>
      </c>
      <c r="B19" s="6" t="str">
        <f t="shared" si="0"/>
        <v>ORD81598</v>
      </c>
      <c r="C19" s="23" t="s">
        <v>49</v>
      </c>
      <c r="D19" s="7">
        <v>45330</v>
      </c>
      <c r="E19" s="7">
        <v>45306</v>
      </c>
      <c r="F19" s="6" t="s">
        <v>303</v>
      </c>
      <c r="G19" s="6" t="s">
        <v>348</v>
      </c>
    </row>
    <row r="20" spans="1:7" ht="42.75" customHeight="1">
      <c r="A20" s="6" t="s">
        <v>349</v>
      </c>
      <c r="B20" s="6" t="str">
        <f t="shared" si="0"/>
        <v>ORD81599</v>
      </c>
      <c r="C20" s="23" t="s">
        <v>49</v>
      </c>
      <c r="D20" s="7">
        <v>45603</v>
      </c>
      <c r="E20" s="7">
        <v>45475</v>
      </c>
      <c r="F20" s="6" t="s">
        <v>303</v>
      </c>
      <c r="G20" s="6" t="s">
        <v>350</v>
      </c>
    </row>
    <row r="21" spans="1:7" ht="42.75" customHeight="1">
      <c r="A21" s="6" t="s">
        <v>351</v>
      </c>
      <c r="B21" s="6" t="str">
        <f t="shared" si="0"/>
        <v>ORD81600</v>
      </c>
      <c r="C21" s="23" t="s">
        <v>41</v>
      </c>
      <c r="D21" s="7">
        <v>45381</v>
      </c>
      <c r="E21" s="7">
        <v>45430</v>
      </c>
      <c r="F21" s="6" t="s">
        <v>318</v>
      </c>
      <c r="G21" s="6" t="s">
        <v>352</v>
      </c>
    </row>
    <row r="22" spans="1:7" ht="42.75" customHeight="1">
      <c r="A22" s="6" t="s">
        <v>353</v>
      </c>
      <c r="B22" s="6" t="str">
        <f t="shared" si="0"/>
        <v>ORD81601</v>
      </c>
      <c r="C22" s="23" t="s">
        <v>44</v>
      </c>
      <c r="D22" s="7">
        <v>45436</v>
      </c>
      <c r="E22" s="7">
        <v>45377</v>
      </c>
      <c r="F22" s="6" t="s">
        <v>321</v>
      </c>
      <c r="G22" s="6" t="s">
        <v>354</v>
      </c>
    </row>
    <row r="23" spans="1:7" ht="42.75" customHeight="1">
      <c r="A23" s="6" t="s">
        <v>355</v>
      </c>
      <c r="B23" s="6" t="str">
        <f t="shared" si="0"/>
        <v>ORD81602</v>
      </c>
      <c r="C23" s="23" t="s">
        <v>46</v>
      </c>
      <c r="D23" s="7">
        <v>45458</v>
      </c>
      <c r="E23" s="7">
        <v>45494</v>
      </c>
      <c r="F23" s="6" t="s">
        <v>318</v>
      </c>
      <c r="G23" s="6" t="s">
        <v>356</v>
      </c>
    </row>
    <row r="24" spans="1:7" ht="42.75" customHeight="1">
      <c r="A24" s="6" t="s">
        <v>357</v>
      </c>
      <c r="B24" s="6" t="str">
        <f t="shared" si="0"/>
        <v>ORD81603</v>
      </c>
      <c r="C24" s="23" t="s">
        <v>49</v>
      </c>
      <c r="D24" s="7">
        <v>45621</v>
      </c>
      <c r="E24" s="7">
        <v>45393</v>
      </c>
      <c r="F24" s="6" t="s">
        <v>321</v>
      </c>
      <c r="G24" s="6" t="s">
        <v>358</v>
      </c>
    </row>
    <row r="25" spans="1:7" ht="42.75" customHeight="1">
      <c r="A25" s="6" t="s">
        <v>359</v>
      </c>
      <c r="B25" s="6" t="str">
        <f t="shared" si="0"/>
        <v>ORD81604</v>
      </c>
      <c r="C25" s="23" t="s">
        <v>46</v>
      </c>
      <c r="D25" s="7">
        <v>45621</v>
      </c>
      <c r="E25" s="7">
        <v>45348</v>
      </c>
      <c r="F25" s="6" t="s">
        <v>321</v>
      </c>
      <c r="G25" s="6" t="s">
        <v>360</v>
      </c>
    </row>
    <row r="26" spans="1:7" ht="42.75" customHeight="1">
      <c r="A26" s="6" t="s">
        <v>361</v>
      </c>
      <c r="B26" s="6" t="str">
        <f t="shared" si="0"/>
        <v>ORD81605</v>
      </c>
      <c r="C26" s="23" t="s">
        <v>41</v>
      </c>
      <c r="D26" s="7">
        <v>45478</v>
      </c>
      <c r="E26" s="7">
        <v>45397</v>
      </c>
      <c r="F26" s="6" t="s">
        <v>321</v>
      </c>
      <c r="G26" s="6" t="s">
        <v>362</v>
      </c>
    </row>
    <row r="27" spans="1:7" ht="42.75" customHeight="1">
      <c r="A27" s="6" t="s">
        <v>363</v>
      </c>
      <c r="B27" s="6" t="str">
        <f t="shared" si="0"/>
        <v>ORD81606</v>
      </c>
      <c r="C27" s="23" t="s">
        <v>49</v>
      </c>
      <c r="D27" s="7">
        <v>45481</v>
      </c>
      <c r="E27" s="7">
        <v>45428</v>
      </c>
      <c r="F27" s="6" t="s">
        <v>321</v>
      </c>
      <c r="G27" s="6" t="s">
        <v>364</v>
      </c>
    </row>
    <row r="28" spans="1:7" ht="42.75" customHeight="1">
      <c r="A28" s="6" t="s">
        <v>365</v>
      </c>
      <c r="B28" s="6" t="str">
        <f t="shared" si="0"/>
        <v>ORD81607</v>
      </c>
      <c r="C28" s="23" t="s">
        <v>44</v>
      </c>
      <c r="D28" s="7">
        <v>45294</v>
      </c>
      <c r="E28" s="7">
        <v>45491</v>
      </c>
      <c r="F28" s="6" t="s">
        <v>321</v>
      </c>
      <c r="G28" s="6" t="s">
        <v>366</v>
      </c>
    </row>
    <row r="29" spans="1:7" ht="42.75" customHeight="1">
      <c r="A29" s="6" t="s">
        <v>367</v>
      </c>
      <c r="B29" s="6" t="str">
        <f t="shared" si="0"/>
        <v>ORD81608</v>
      </c>
      <c r="C29" s="23" t="s">
        <v>49</v>
      </c>
      <c r="D29" s="7">
        <v>45357</v>
      </c>
      <c r="E29" s="7">
        <v>45522</v>
      </c>
      <c r="F29" s="6" t="s">
        <v>318</v>
      </c>
      <c r="G29" s="6" t="s">
        <v>368</v>
      </c>
    </row>
    <row r="30" spans="1:7" ht="42.75" customHeight="1">
      <c r="A30" s="6" t="s">
        <v>369</v>
      </c>
      <c r="B30" s="6" t="str">
        <f t="shared" si="0"/>
        <v>ORD81609</v>
      </c>
      <c r="C30" s="23" t="s">
        <v>44</v>
      </c>
      <c r="D30" s="7">
        <v>45530</v>
      </c>
      <c r="E30" s="7">
        <v>45327</v>
      </c>
      <c r="F30" s="6" t="s">
        <v>303</v>
      </c>
      <c r="G30" s="6" t="s">
        <v>370</v>
      </c>
    </row>
    <row r="31" spans="1:7" ht="42.75" customHeight="1">
      <c r="A31" s="6" t="s">
        <v>371</v>
      </c>
      <c r="B31" s="6" t="str">
        <f t="shared" si="0"/>
        <v>ORD81610</v>
      </c>
      <c r="C31" s="23" t="s">
        <v>44</v>
      </c>
      <c r="D31" s="7">
        <v>45463</v>
      </c>
      <c r="E31" s="7">
        <v>45517</v>
      </c>
      <c r="F31" s="6" t="s">
        <v>318</v>
      </c>
      <c r="G31" s="6" t="s">
        <v>372</v>
      </c>
    </row>
    <row r="32" spans="1:7" ht="42.75" customHeight="1">
      <c r="A32" s="6" t="s">
        <v>373</v>
      </c>
      <c r="B32" s="6" t="str">
        <f t="shared" si="0"/>
        <v>ORD81611</v>
      </c>
      <c r="C32" s="23" t="s">
        <v>46</v>
      </c>
      <c r="D32" s="7">
        <v>45345</v>
      </c>
      <c r="E32" s="7">
        <v>45527</v>
      </c>
      <c r="F32" s="6" t="s">
        <v>318</v>
      </c>
      <c r="G32" s="6" t="s">
        <v>374</v>
      </c>
    </row>
    <row r="33" spans="1:7" ht="42.75" customHeight="1">
      <c r="A33" s="6" t="s">
        <v>375</v>
      </c>
      <c r="B33" s="6" t="str">
        <f t="shared" si="0"/>
        <v>ORD81612</v>
      </c>
      <c r="C33" s="23" t="s">
        <v>41</v>
      </c>
      <c r="D33" s="7">
        <v>45557</v>
      </c>
      <c r="E33" s="7">
        <v>45595</v>
      </c>
      <c r="F33" s="6" t="s">
        <v>318</v>
      </c>
      <c r="G33" s="6" t="s">
        <v>376</v>
      </c>
    </row>
    <row r="34" spans="1:7" ht="42.75" customHeight="1">
      <c r="A34" s="6" t="s">
        <v>377</v>
      </c>
      <c r="B34" s="6" t="str">
        <f t="shared" si="0"/>
        <v>ORD81613</v>
      </c>
      <c r="C34" s="23" t="s">
        <v>46</v>
      </c>
      <c r="D34" s="7">
        <v>45333</v>
      </c>
      <c r="E34" s="7">
        <v>45577</v>
      </c>
      <c r="F34" s="6" t="s">
        <v>303</v>
      </c>
      <c r="G34" s="6" t="s">
        <v>378</v>
      </c>
    </row>
    <row r="35" spans="1:7" ht="42.75" customHeight="1">
      <c r="A35" s="6" t="s">
        <v>379</v>
      </c>
      <c r="B35" s="6" t="str">
        <f t="shared" si="0"/>
        <v>ORD81614</v>
      </c>
      <c r="C35" s="23" t="s">
        <v>41</v>
      </c>
      <c r="D35" s="7">
        <v>45611</v>
      </c>
      <c r="E35" s="7">
        <v>45589</v>
      </c>
      <c r="F35" s="6" t="s">
        <v>321</v>
      </c>
      <c r="G35" s="6" t="s">
        <v>380</v>
      </c>
    </row>
    <row r="36" spans="1:7" ht="42.75" customHeight="1">
      <c r="A36" s="6" t="s">
        <v>381</v>
      </c>
      <c r="B36" s="6" t="str">
        <f t="shared" si="0"/>
        <v>ORD81615</v>
      </c>
      <c r="C36" s="23" t="s">
        <v>49</v>
      </c>
      <c r="D36" s="7">
        <v>45595</v>
      </c>
      <c r="E36" s="7">
        <v>45353</v>
      </c>
      <c r="F36" s="6" t="s">
        <v>303</v>
      </c>
      <c r="G36" s="6" t="s">
        <v>382</v>
      </c>
    </row>
    <row r="37" spans="1:7" ht="42.75" customHeight="1">
      <c r="A37" s="6" t="s">
        <v>383</v>
      </c>
      <c r="B37" s="6" t="str">
        <f t="shared" si="0"/>
        <v>ORD81616</v>
      </c>
      <c r="C37" s="23" t="s">
        <v>44</v>
      </c>
      <c r="D37" s="7">
        <v>45641</v>
      </c>
      <c r="E37" s="7">
        <v>45568</v>
      </c>
      <c r="F37" s="6" t="s">
        <v>321</v>
      </c>
      <c r="G37" s="6" t="s">
        <v>384</v>
      </c>
    </row>
    <row r="38" spans="1:7" ht="42.75" customHeight="1">
      <c r="A38" s="6" t="s">
        <v>385</v>
      </c>
      <c r="B38" s="6" t="str">
        <f t="shared" si="0"/>
        <v>ORD81617</v>
      </c>
      <c r="C38" s="23" t="s">
        <v>41</v>
      </c>
      <c r="D38" s="7">
        <v>45299</v>
      </c>
      <c r="E38" s="7">
        <v>45452</v>
      </c>
      <c r="F38" s="6" t="s">
        <v>321</v>
      </c>
      <c r="G38" s="6" t="s">
        <v>386</v>
      </c>
    </row>
    <row r="39" spans="1:7" ht="42.75" customHeight="1">
      <c r="A39" s="6" t="s">
        <v>387</v>
      </c>
      <c r="B39" s="6" t="str">
        <f t="shared" si="0"/>
        <v>ORD81618</v>
      </c>
      <c r="C39" s="23" t="s">
        <v>49</v>
      </c>
      <c r="D39" s="7">
        <v>45627</v>
      </c>
      <c r="E39" s="7">
        <v>45479</v>
      </c>
      <c r="F39" s="6" t="s">
        <v>321</v>
      </c>
      <c r="G39" s="6" t="s">
        <v>388</v>
      </c>
    </row>
    <row r="40" spans="1:7" ht="42.75" customHeight="1">
      <c r="A40" s="6" t="s">
        <v>389</v>
      </c>
      <c r="B40" s="6" t="str">
        <f t="shared" si="0"/>
        <v>ORD81619</v>
      </c>
      <c r="C40" s="23" t="s">
        <v>41</v>
      </c>
      <c r="D40" s="7">
        <v>45407</v>
      </c>
      <c r="E40" s="7">
        <v>45401</v>
      </c>
      <c r="F40" s="6" t="s">
        <v>321</v>
      </c>
      <c r="G40" s="6" t="s">
        <v>390</v>
      </c>
    </row>
    <row r="41" spans="1:7" ht="42.75" customHeight="1">
      <c r="A41" s="6" t="s">
        <v>391</v>
      </c>
      <c r="B41" s="6" t="str">
        <f t="shared" si="0"/>
        <v>ORD81620</v>
      </c>
      <c r="C41" s="23" t="s">
        <v>49</v>
      </c>
      <c r="D41" s="7">
        <v>45461</v>
      </c>
      <c r="E41" s="7">
        <v>45635</v>
      </c>
      <c r="F41" s="6" t="s">
        <v>318</v>
      </c>
      <c r="G41" s="6" t="s">
        <v>392</v>
      </c>
    </row>
    <row r="42" spans="1:7" ht="42.75" customHeight="1">
      <c r="A42" s="6" t="s">
        <v>393</v>
      </c>
      <c r="B42" s="6" t="str">
        <f t="shared" si="0"/>
        <v>ORD81621</v>
      </c>
      <c r="C42" s="23" t="s">
        <v>44</v>
      </c>
      <c r="D42" s="7">
        <v>45462</v>
      </c>
      <c r="E42" s="7">
        <v>45600</v>
      </c>
      <c r="F42" s="6" t="s">
        <v>321</v>
      </c>
      <c r="G42" s="6" t="s">
        <v>394</v>
      </c>
    </row>
    <row r="43" spans="1:7" ht="42.75" customHeight="1">
      <c r="A43" s="6" t="s">
        <v>395</v>
      </c>
      <c r="B43" s="6" t="str">
        <f t="shared" si="0"/>
        <v>ORD81622</v>
      </c>
      <c r="C43" s="23" t="s">
        <v>44</v>
      </c>
      <c r="D43" s="7">
        <v>45507</v>
      </c>
      <c r="E43" s="7">
        <v>45619</v>
      </c>
      <c r="F43" s="6" t="s">
        <v>321</v>
      </c>
      <c r="G43" s="6" t="s">
        <v>396</v>
      </c>
    </row>
    <row r="44" spans="1:7" ht="42.75" customHeight="1">
      <c r="A44" s="6" t="s">
        <v>397</v>
      </c>
      <c r="B44" s="6" t="str">
        <f t="shared" si="0"/>
        <v>ORD81623</v>
      </c>
      <c r="C44" s="23" t="s">
        <v>41</v>
      </c>
      <c r="D44" s="7">
        <v>45638</v>
      </c>
      <c r="E44" s="7">
        <v>45615</v>
      </c>
      <c r="F44" s="6" t="s">
        <v>318</v>
      </c>
      <c r="G44" s="6" t="s">
        <v>398</v>
      </c>
    </row>
    <row r="45" spans="1:7" ht="42.75" customHeight="1">
      <c r="A45" s="6" t="s">
        <v>399</v>
      </c>
      <c r="B45" s="6" t="str">
        <f t="shared" si="0"/>
        <v>ORD81624</v>
      </c>
      <c r="C45" s="23" t="s">
        <v>44</v>
      </c>
      <c r="D45" s="7">
        <v>45480</v>
      </c>
      <c r="E45" s="7">
        <v>45580</v>
      </c>
      <c r="F45" s="6" t="s">
        <v>303</v>
      </c>
      <c r="G45" s="6" t="s">
        <v>400</v>
      </c>
    </row>
    <row r="46" spans="1:7" ht="42.75" customHeight="1">
      <c r="A46" s="6" t="s">
        <v>401</v>
      </c>
      <c r="B46" s="6" t="str">
        <f t="shared" si="0"/>
        <v>ORD81625</v>
      </c>
      <c r="C46" s="23" t="s">
        <v>49</v>
      </c>
      <c r="D46" s="7">
        <v>45381</v>
      </c>
      <c r="E46" s="7">
        <v>45607</v>
      </c>
      <c r="F46" s="6" t="s">
        <v>303</v>
      </c>
      <c r="G46" s="6" t="s">
        <v>402</v>
      </c>
    </row>
    <row r="47" spans="1:7" ht="42.75" customHeight="1">
      <c r="A47" s="6" t="s">
        <v>403</v>
      </c>
      <c r="B47" s="6" t="str">
        <f t="shared" si="0"/>
        <v>ORD81626</v>
      </c>
      <c r="C47" s="23" t="s">
        <v>46</v>
      </c>
      <c r="D47" s="7">
        <v>45567</v>
      </c>
      <c r="E47" s="7">
        <v>45550</v>
      </c>
      <c r="F47" s="6" t="s">
        <v>303</v>
      </c>
      <c r="G47" s="6" t="s">
        <v>404</v>
      </c>
    </row>
    <row r="48" spans="1:7" ht="42.75" customHeight="1">
      <c r="A48" s="6" t="s">
        <v>405</v>
      </c>
      <c r="B48" s="6" t="str">
        <f t="shared" si="0"/>
        <v>ORD81627</v>
      </c>
      <c r="C48" s="23" t="s">
        <v>41</v>
      </c>
      <c r="D48" s="7">
        <v>45386</v>
      </c>
      <c r="E48" s="7">
        <v>45484</v>
      </c>
      <c r="F48" s="6" t="s">
        <v>321</v>
      </c>
      <c r="G48" s="6" t="s">
        <v>406</v>
      </c>
    </row>
    <row r="49" spans="1:7" ht="42.75" customHeight="1">
      <c r="A49" s="6" t="s">
        <v>407</v>
      </c>
      <c r="B49" s="6" t="str">
        <f t="shared" si="0"/>
        <v>ORD81628</v>
      </c>
      <c r="C49" s="23" t="s">
        <v>46</v>
      </c>
      <c r="D49" s="7">
        <v>45520</v>
      </c>
      <c r="E49" s="7">
        <v>45556</v>
      </c>
      <c r="F49" s="6" t="s">
        <v>321</v>
      </c>
      <c r="G49" s="6" t="s">
        <v>408</v>
      </c>
    </row>
    <row r="50" spans="1:7" ht="42.75" customHeight="1">
      <c r="A50" s="6" t="s">
        <v>409</v>
      </c>
      <c r="B50" s="6" t="str">
        <f t="shared" si="0"/>
        <v>ORD81629</v>
      </c>
      <c r="C50" s="23" t="s">
        <v>46</v>
      </c>
      <c r="D50" s="7">
        <v>45523</v>
      </c>
      <c r="E50" s="7">
        <v>45539</v>
      </c>
      <c r="F50" s="6" t="s">
        <v>318</v>
      </c>
      <c r="G50" s="6" t="s">
        <v>410</v>
      </c>
    </row>
    <row r="51" spans="1:7" ht="42.75" customHeight="1">
      <c r="A51" s="6" t="s">
        <v>411</v>
      </c>
      <c r="B51" s="6" t="str">
        <f t="shared" si="0"/>
        <v>ORD81630</v>
      </c>
      <c r="C51" s="23" t="s">
        <v>46</v>
      </c>
      <c r="D51" s="7">
        <v>45418</v>
      </c>
      <c r="E51" s="7">
        <v>45512</v>
      </c>
      <c r="F51" s="6" t="s">
        <v>318</v>
      </c>
      <c r="G51" s="6" t="s">
        <v>412</v>
      </c>
    </row>
    <row r="52" spans="1:7" ht="42.75" customHeight="1">
      <c r="A52" s="6" t="s">
        <v>413</v>
      </c>
      <c r="B52" s="6" t="str">
        <f t="shared" si="0"/>
        <v>ORD81631</v>
      </c>
      <c r="C52" s="23" t="s">
        <v>41</v>
      </c>
      <c r="D52" s="7">
        <v>45510</v>
      </c>
      <c r="E52" s="7">
        <v>45431</v>
      </c>
      <c r="F52" s="6" t="s">
        <v>303</v>
      </c>
      <c r="G52" s="6" t="s">
        <v>414</v>
      </c>
    </row>
    <row r="53" spans="1:7" ht="42.75" customHeight="1">
      <c r="A53" s="6" t="s">
        <v>415</v>
      </c>
      <c r="B53" s="6" t="str">
        <f t="shared" si="0"/>
        <v>ORD81632</v>
      </c>
      <c r="C53" s="23" t="s">
        <v>41</v>
      </c>
      <c r="D53" s="7">
        <v>45534</v>
      </c>
      <c r="E53" s="7">
        <v>45383</v>
      </c>
      <c r="F53" s="6" t="s">
        <v>321</v>
      </c>
      <c r="G53" s="6" t="s">
        <v>416</v>
      </c>
    </row>
    <row r="54" spans="1:7" ht="42.75" customHeight="1">
      <c r="A54" s="6" t="s">
        <v>417</v>
      </c>
      <c r="B54" s="6" t="str">
        <f>"ORD" &amp; TEXT(RIGHT(B53,5) +1, "00000")</f>
        <v>ORD81633</v>
      </c>
      <c r="C54" s="23" t="s">
        <v>49</v>
      </c>
      <c r="D54" s="7">
        <v>45633</v>
      </c>
      <c r="E54" s="7">
        <v>45355</v>
      </c>
      <c r="F54" s="6" t="s">
        <v>303</v>
      </c>
      <c r="G54" s="6" t="s">
        <v>418</v>
      </c>
    </row>
    <row r="55" spans="1:7" ht="42.75" customHeight="1">
      <c r="A55" s="6" t="s">
        <v>419</v>
      </c>
      <c r="B55" s="6" t="str">
        <f t="shared" si="0"/>
        <v>ORD81634</v>
      </c>
      <c r="C55" s="23" t="s">
        <v>44</v>
      </c>
      <c r="D55" s="7">
        <v>45506</v>
      </c>
      <c r="E55" s="7">
        <v>45609</v>
      </c>
      <c r="F55" s="6" t="s">
        <v>303</v>
      </c>
      <c r="G55" s="6" t="s">
        <v>420</v>
      </c>
    </row>
    <row r="56" spans="1:7" ht="42.75" customHeight="1">
      <c r="A56" s="6" t="s">
        <v>421</v>
      </c>
      <c r="B56" s="6" t="str">
        <f t="shared" si="0"/>
        <v>ORD81635</v>
      </c>
      <c r="C56" s="23" t="s">
        <v>41</v>
      </c>
      <c r="D56" s="7">
        <v>45424</v>
      </c>
      <c r="E56" s="7">
        <v>45463</v>
      </c>
      <c r="F56" s="6" t="s">
        <v>303</v>
      </c>
      <c r="G56" s="6" t="s">
        <v>422</v>
      </c>
    </row>
    <row r="57" spans="1:7" ht="42.75" customHeight="1">
      <c r="A57" s="6" t="s">
        <v>423</v>
      </c>
      <c r="B57" s="6" t="str">
        <f t="shared" si="0"/>
        <v>ORD81636</v>
      </c>
      <c r="C57" s="23" t="s">
        <v>49</v>
      </c>
      <c r="D57" s="7">
        <v>45335</v>
      </c>
      <c r="E57" s="7">
        <v>45428</v>
      </c>
      <c r="F57" s="6" t="s">
        <v>303</v>
      </c>
      <c r="G57" s="6" t="s">
        <v>424</v>
      </c>
    </row>
    <row r="58" spans="1:7" ht="42.75" customHeight="1">
      <c r="A58" s="6" t="s">
        <v>425</v>
      </c>
      <c r="B58" s="6" t="str">
        <f t="shared" si="0"/>
        <v>ORD81637</v>
      </c>
      <c r="C58" s="23" t="s">
        <v>41</v>
      </c>
      <c r="D58" s="7">
        <v>45419</v>
      </c>
      <c r="E58" s="7">
        <v>45401</v>
      </c>
      <c r="F58" s="6" t="s">
        <v>303</v>
      </c>
      <c r="G58" s="6" t="s">
        <v>426</v>
      </c>
    </row>
    <row r="59" spans="1:7" ht="42.75" customHeight="1">
      <c r="A59" s="6" t="s">
        <v>427</v>
      </c>
      <c r="B59" s="6" t="str">
        <f t="shared" si="0"/>
        <v>ORD81638</v>
      </c>
      <c r="C59" s="23" t="s">
        <v>46</v>
      </c>
      <c r="D59" s="7">
        <v>45421</v>
      </c>
      <c r="E59" s="7">
        <v>45546</v>
      </c>
      <c r="F59" s="6" t="s">
        <v>321</v>
      </c>
      <c r="G59" s="6" t="s">
        <v>428</v>
      </c>
    </row>
    <row r="60" spans="1:7" ht="42.75" customHeight="1">
      <c r="A60" s="6" t="s">
        <v>429</v>
      </c>
      <c r="B60" s="6" t="str">
        <f t="shared" si="0"/>
        <v>ORD81639</v>
      </c>
      <c r="C60" s="23" t="s">
        <v>41</v>
      </c>
      <c r="D60" s="7">
        <v>45594</v>
      </c>
      <c r="E60" s="7">
        <v>45378</v>
      </c>
      <c r="F60" s="6" t="s">
        <v>318</v>
      </c>
      <c r="G60" s="6" t="s">
        <v>430</v>
      </c>
    </row>
    <row r="61" spans="1:7" ht="42.75" customHeight="1">
      <c r="A61" s="6" t="s">
        <v>431</v>
      </c>
      <c r="B61" s="6" t="str">
        <f t="shared" si="0"/>
        <v>ORD81640</v>
      </c>
      <c r="C61" s="23" t="s">
        <v>49</v>
      </c>
      <c r="D61" s="7">
        <v>45593</v>
      </c>
      <c r="E61" s="7">
        <v>45612</v>
      </c>
      <c r="F61" s="6" t="s">
        <v>321</v>
      </c>
      <c r="G61" s="6" t="s">
        <v>432</v>
      </c>
    </row>
    <row r="62" spans="1:7" ht="42.75" customHeight="1">
      <c r="A62" s="6" t="s">
        <v>433</v>
      </c>
      <c r="B62" s="6" t="str">
        <f t="shared" si="0"/>
        <v>ORD81641</v>
      </c>
      <c r="C62" s="23" t="s">
        <v>46</v>
      </c>
      <c r="D62" s="7">
        <v>45428</v>
      </c>
      <c r="E62" s="7">
        <v>45538</v>
      </c>
      <c r="F62" s="6" t="s">
        <v>303</v>
      </c>
      <c r="G62" s="6" t="s">
        <v>434</v>
      </c>
    </row>
    <row r="63" spans="1:7" ht="42.75" customHeight="1">
      <c r="A63" s="6" t="s">
        <v>435</v>
      </c>
      <c r="B63" s="6" t="str">
        <f t="shared" si="0"/>
        <v>ORD81642</v>
      </c>
      <c r="C63" s="23" t="s">
        <v>41</v>
      </c>
      <c r="D63" s="7">
        <v>45336</v>
      </c>
      <c r="E63" s="7">
        <v>45321</v>
      </c>
      <c r="F63" s="6" t="s">
        <v>321</v>
      </c>
      <c r="G63" s="6" t="s">
        <v>436</v>
      </c>
    </row>
    <row r="64" spans="1:7" ht="42.75" customHeight="1">
      <c r="A64" s="6" t="s">
        <v>437</v>
      </c>
      <c r="B64" s="6" t="str">
        <f t="shared" si="0"/>
        <v>ORD81643</v>
      </c>
      <c r="C64" s="23" t="s">
        <v>41</v>
      </c>
      <c r="D64" s="7">
        <v>45337</v>
      </c>
      <c r="E64" s="7">
        <v>45392</v>
      </c>
      <c r="F64" s="6" t="s">
        <v>303</v>
      </c>
      <c r="G64" s="6" t="s">
        <v>438</v>
      </c>
    </row>
    <row r="65" spans="1:7" ht="42.75" customHeight="1">
      <c r="A65" s="6" t="s">
        <v>439</v>
      </c>
      <c r="B65" s="6" t="str">
        <f t="shared" si="0"/>
        <v>ORD81644</v>
      </c>
      <c r="C65" s="23" t="s">
        <v>41</v>
      </c>
      <c r="D65" s="7">
        <v>45401</v>
      </c>
      <c r="E65" s="7">
        <v>45523</v>
      </c>
      <c r="F65" s="6" t="s">
        <v>318</v>
      </c>
      <c r="G65" s="6" t="s">
        <v>440</v>
      </c>
    </row>
    <row r="66" spans="1:7" ht="42.75" customHeight="1">
      <c r="A66" s="6" t="s">
        <v>441</v>
      </c>
      <c r="B66" s="6" t="str">
        <f t="shared" si="0"/>
        <v>ORD81645</v>
      </c>
      <c r="C66" s="23" t="s">
        <v>41</v>
      </c>
      <c r="D66" s="7">
        <v>45392</v>
      </c>
      <c r="E66" s="7">
        <v>45437</v>
      </c>
      <c r="F66" s="6" t="s">
        <v>318</v>
      </c>
      <c r="G66" s="6" t="s">
        <v>442</v>
      </c>
    </row>
    <row r="67" spans="1:7" ht="42.75" customHeight="1">
      <c r="A67" s="6" t="s">
        <v>443</v>
      </c>
      <c r="B67" s="6" t="str">
        <f t="shared" si="0"/>
        <v>ORD81646</v>
      </c>
      <c r="C67" s="23" t="s">
        <v>49</v>
      </c>
      <c r="D67" s="7">
        <v>45498</v>
      </c>
      <c r="E67" s="7">
        <v>45321</v>
      </c>
      <c r="F67" s="6" t="s">
        <v>303</v>
      </c>
      <c r="G67" s="6" t="s">
        <v>444</v>
      </c>
    </row>
    <row r="68" spans="1:7" ht="42.75" customHeight="1">
      <c r="A68" s="6" t="s">
        <v>445</v>
      </c>
      <c r="B68" s="6" t="str">
        <f t="shared" ref="B68:B131" si="1">"ORD" &amp; TEXT(RIGHT(B67,5) +1, "00000")</f>
        <v>ORD81647</v>
      </c>
      <c r="C68" s="23" t="s">
        <v>44</v>
      </c>
      <c r="D68" s="7">
        <v>45401</v>
      </c>
      <c r="E68" s="7">
        <v>45590</v>
      </c>
      <c r="F68" s="6" t="s">
        <v>321</v>
      </c>
      <c r="G68" s="6" t="s">
        <v>446</v>
      </c>
    </row>
    <row r="69" spans="1:7" ht="42.75" customHeight="1">
      <c r="A69" s="6" t="s">
        <v>447</v>
      </c>
      <c r="B69" s="6" t="str">
        <f t="shared" si="1"/>
        <v>ORD81648</v>
      </c>
      <c r="C69" s="23" t="s">
        <v>49</v>
      </c>
      <c r="D69" s="7">
        <v>45501</v>
      </c>
      <c r="E69" s="7">
        <v>45439</v>
      </c>
      <c r="F69" s="6" t="s">
        <v>303</v>
      </c>
      <c r="G69" s="6" t="s">
        <v>448</v>
      </c>
    </row>
    <row r="70" spans="1:7" ht="42.75" customHeight="1">
      <c r="A70" s="6" t="s">
        <v>449</v>
      </c>
      <c r="B70" s="6" t="str">
        <f t="shared" si="1"/>
        <v>ORD81649</v>
      </c>
      <c r="C70" s="23" t="s">
        <v>46</v>
      </c>
      <c r="D70" s="7">
        <v>45558</v>
      </c>
      <c r="E70" s="7">
        <v>45599</v>
      </c>
      <c r="F70" s="6" t="s">
        <v>318</v>
      </c>
      <c r="G70" s="6" t="s">
        <v>450</v>
      </c>
    </row>
    <row r="71" spans="1:7" ht="42.75" customHeight="1">
      <c r="A71" s="6" t="s">
        <v>451</v>
      </c>
      <c r="B71" s="6" t="str">
        <f t="shared" si="1"/>
        <v>ORD81650</v>
      </c>
      <c r="C71" s="23" t="s">
        <v>41</v>
      </c>
      <c r="D71" s="7">
        <v>45343</v>
      </c>
      <c r="E71" s="7">
        <v>45284</v>
      </c>
      <c r="F71" s="6" t="s">
        <v>321</v>
      </c>
      <c r="G71" s="6" t="s">
        <v>452</v>
      </c>
    </row>
    <row r="72" spans="1:7" ht="42.75" customHeight="1">
      <c r="A72" s="6" t="s">
        <v>453</v>
      </c>
      <c r="B72" s="6" t="str">
        <f t="shared" si="1"/>
        <v>ORD81651</v>
      </c>
      <c r="C72" s="23" t="s">
        <v>44</v>
      </c>
      <c r="D72" s="7">
        <v>45542</v>
      </c>
      <c r="E72" s="7">
        <v>45342</v>
      </c>
      <c r="F72" s="6" t="s">
        <v>318</v>
      </c>
      <c r="G72" s="6" t="s">
        <v>454</v>
      </c>
    </row>
    <row r="73" spans="1:7" ht="42.75" customHeight="1">
      <c r="A73" s="6" t="s">
        <v>455</v>
      </c>
      <c r="B73" s="6" t="str">
        <f t="shared" si="1"/>
        <v>ORD81652</v>
      </c>
      <c r="C73" s="23" t="s">
        <v>46</v>
      </c>
      <c r="D73" s="7">
        <v>45449</v>
      </c>
      <c r="E73" s="7">
        <v>45375</v>
      </c>
      <c r="F73" s="6" t="s">
        <v>303</v>
      </c>
      <c r="G73" s="6" t="s">
        <v>456</v>
      </c>
    </row>
    <row r="74" spans="1:7" ht="42.75" customHeight="1">
      <c r="A74" s="6" t="s">
        <v>457</v>
      </c>
      <c r="B74" s="6" t="str">
        <f t="shared" si="1"/>
        <v>ORD81653</v>
      </c>
      <c r="C74" s="23" t="s">
        <v>46</v>
      </c>
      <c r="D74" s="7">
        <v>45462</v>
      </c>
      <c r="E74" s="7">
        <v>45290</v>
      </c>
      <c r="F74" s="6" t="s">
        <v>321</v>
      </c>
      <c r="G74" s="6" t="s">
        <v>458</v>
      </c>
    </row>
    <row r="75" spans="1:7" ht="42.75" customHeight="1">
      <c r="A75" s="6" t="s">
        <v>459</v>
      </c>
      <c r="B75" s="6" t="str">
        <f t="shared" si="1"/>
        <v>ORD81654</v>
      </c>
      <c r="C75" s="23" t="s">
        <v>44</v>
      </c>
      <c r="D75" s="7">
        <v>45345</v>
      </c>
      <c r="E75" s="7">
        <v>45469</v>
      </c>
      <c r="F75" s="6" t="s">
        <v>318</v>
      </c>
      <c r="G75" s="6" t="s">
        <v>460</v>
      </c>
    </row>
    <row r="76" spans="1:7" ht="42.75" customHeight="1">
      <c r="A76" s="6" t="s">
        <v>461</v>
      </c>
      <c r="B76" s="6" t="str">
        <f t="shared" si="1"/>
        <v>ORD81655</v>
      </c>
      <c r="C76" s="23" t="s">
        <v>46</v>
      </c>
      <c r="D76" s="7">
        <v>45454</v>
      </c>
      <c r="E76" s="7">
        <v>45504</v>
      </c>
      <c r="F76" s="6" t="s">
        <v>318</v>
      </c>
      <c r="G76" s="6" t="s">
        <v>462</v>
      </c>
    </row>
    <row r="77" spans="1:7" ht="42.75" customHeight="1">
      <c r="A77" s="6" t="s">
        <v>463</v>
      </c>
      <c r="B77" s="6" t="str">
        <f t="shared" si="1"/>
        <v>ORD81656</v>
      </c>
      <c r="C77" s="23" t="s">
        <v>46</v>
      </c>
      <c r="D77" s="7">
        <v>45513</v>
      </c>
      <c r="E77" s="7">
        <v>45605</v>
      </c>
      <c r="F77" s="6" t="s">
        <v>318</v>
      </c>
      <c r="G77" s="6" t="s">
        <v>464</v>
      </c>
    </row>
    <row r="78" spans="1:7" ht="42.75" customHeight="1">
      <c r="A78" s="6" t="s">
        <v>465</v>
      </c>
      <c r="B78" s="6" t="str">
        <f t="shared" si="1"/>
        <v>ORD81657</v>
      </c>
      <c r="C78" s="23" t="s">
        <v>46</v>
      </c>
      <c r="D78" s="7">
        <v>45492</v>
      </c>
      <c r="E78" s="7">
        <v>45441</v>
      </c>
      <c r="F78" s="6" t="s">
        <v>303</v>
      </c>
      <c r="G78" s="6" t="s">
        <v>466</v>
      </c>
    </row>
    <row r="79" spans="1:7" ht="42.75" customHeight="1">
      <c r="A79" s="6" t="s">
        <v>467</v>
      </c>
      <c r="B79" s="6" t="str">
        <f t="shared" si="1"/>
        <v>ORD81658</v>
      </c>
      <c r="C79" s="23" t="s">
        <v>49</v>
      </c>
      <c r="D79" s="7">
        <v>45572</v>
      </c>
      <c r="E79" s="7">
        <v>45397</v>
      </c>
      <c r="F79" s="6" t="s">
        <v>318</v>
      </c>
      <c r="G79" s="6" t="s">
        <v>468</v>
      </c>
    </row>
    <row r="80" spans="1:7" ht="42.75" customHeight="1">
      <c r="A80" s="6" t="s">
        <v>469</v>
      </c>
      <c r="B80" s="6" t="str">
        <f t="shared" si="1"/>
        <v>ORD81659</v>
      </c>
      <c r="C80" s="23" t="s">
        <v>44</v>
      </c>
      <c r="D80" s="7">
        <v>45514</v>
      </c>
      <c r="E80" s="7">
        <v>45353</v>
      </c>
      <c r="F80" s="6" t="s">
        <v>303</v>
      </c>
      <c r="G80" s="6" t="s">
        <v>470</v>
      </c>
    </row>
    <row r="81" spans="1:7" ht="42.75" customHeight="1">
      <c r="A81" s="6" t="s">
        <v>471</v>
      </c>
      <c r="B81" s="6" t="str">
        <f t="shared" si="1"/>
        <v>ORD81660</v>
      </c>
      <c r="C81" s="23" t="s">
        <v>41</v>
      </c>
      <c r="D81" s="7">
        <v>45598</v>
      </c>
      <c r="E81" s="7">
        <v>45460</v>
      </c>
      <c r="F81" s="6" t="s">
        <v>318</v>
      </c>
      <c r="G81" s="6" t="s">
        <v>472</v>
      </c>
    </row>
    <row r="82" spans="1:7" ht="42.75" customHeight="1">
      <c r="A82" s="6" t="s">
        <v>473</v>
      </c>
      <c r="B82" s="6" t="str">
        <f t="shared" si="1"/>
        <v>ORD81661</v>
      </c>
      <c r="C82" s="23" t="s">
        <v>41</v>
      </c>
      <c r="D82" s="7">
        <v>45599</v>
      </c>
      <c r="E82" s="7">
        <v>45495</v>
      </c>
      <c r="F82" s="6" t="s">
        <v>318</v>
      </c>
      <c r="G82" s="6" t="s">
        <v>474</v>
      </c>
    </row>
    <row r="83" spans="1:7" ht="42.75" customHeight="1">
      <c r="A83" s="6" t="s">
        <v>475</v>
      </c>
      <c r="B83" s="6" t="str">
        <f t="shared" si="1"/>
        <v>ORD81662</v>
      </c>
      <c r="C83" s="23" t="s">
        <v>49</v>
      </c>
      <c r="D83" s="7">
        <v>45612</v>
      </c>
      <c r="E83" s="7">
        <v>45538</v>
      </c>
      <c r="F83" s="6" t="s">
        <v>303</v>
      </c>
      <c r="G83" s="6" t="s">
        <v>476</v>
      </c>
    </row>
    <row r="84" spans="1:7" ht="42.75" customHeight="1">
      <c r="A84" s="6" t="s">
        <v>477</v>
      </c>
      <c r="B84" s="6" t="str">
        <f t="shared" si="1"/>
        <v>ORD81663</v>
      </c>
      <c r="C84" s="23" t="s">
        <v>46</v>
      </c>
      <c r="D84" s="7">
        <v>45522</v>
      </c>
      <c r="E84" s="7">
        <v>45427</v>
      </c>
      <c r="F84" s="6" t="s">
        <v>303</v>
      </c>
      <c r="G84" s="6" t="s">
        <v>478</v>
      </c>
    </row>
    <row r="85" spans="1:7" ht="42.75" customHeight="1">
      <c r="A85" s="6" t="s">
        <v>479</v>
      </c>
      <c r="B85" s="6" t="str">
        <f t="shared" si="1"/>
        <v>ORD81664</v>
      </c>
      <c r="C85" s="23" t="s">
        <v>41</v>
      </c>
      <c r="D85" s="7">
        <v>45639</v>
      </c>
      <c r="E85" s="7">
        <v>45278</v>
      </c>
      <c r="F85" s="6" t="s">
        <v>303</v>
      </c>
      <c r="G85" s="6" t="s">
        <v>480</v>
      </c>
    </row>
    <row r="86" spans="1:7" ht="42.75" customHeight="1">
      <c r="A86" s="6" t="s">
        <v>481</v>
      </c>
      <c r="B86" s="6" t="str">
        <f t="shared" si="1"/>
        <v>ORD81665</v>
      </c>
      <c r="C86" s="23" t="s">
        <v>44</v>
      </c>
      <c r="D86" s="7">
        <v>45509</v>
      </c>
      <c r="E86" s="7">
        <v>45543</v>
      </c>
      <c r="F86" s="6" t="s">
        <v>321</v>
      </c>
      <c r="G86" s="6" t="s">
        <v>482</v>
      </c>
    </row>
    <row r="87" spans="1:7" ht="42.75" customHeight="1">
      <c r="A87" s="6" t="s">
        <v>483</v>
      </c>
      <c r="B87" s="6" t="str">
        <f t="shared" si="1"/>
        <v>ORD81666</v>
      </c>
      <c r="C87" s="23" t="s">
        <v>44</v>
      </c>
      <c r="D87" s="7">
        <v>45636</v>
      </c>
      <c r="E87" s="7">
        <v>45388</v>
      </c>
      <c r="F87" s="6" t="s">
        <v>318</v>
      </c>
      <c r="G87" s="6" t="s">
        <v>484</v>
      </c>
    </row>
    <row r="88" spans="1:7" ht="42.75" customHeight="1">
      <c r="A88" s="6" t="s">
        <v>485</v>
      </c>
      <c r="B88" s="6" t="str">
        <f t="shared" si="1"/>
        <v>ORD81667</v>
      </c>
      <c r="C88" s="23" t="s">
        <v>46</v>
      </c>
      <c r="D88" s="7">
        <v>45350</v>
      </c>
      <c r="E88" s="7">
        <v>45557</v>
      </c>
      <c r="F88" s="6" t="s">
        <v>303</v>
      </c>
      <c r="G88" s="6" t="s">
        <v>486</v>
      </c>
    </row>
    <row r="89" spans="1:7" ht="42.75" customHeight="1">
      <c r="A89" s="6" t="s">
        <v>487</v>
      </c>
      <c r="B89" s="6" t="str">
        <f t="shared" si="1"/>
        <v>ORD81668</v>
      </c>
      <c r="C89" s="23" t="s">
        <v>44</v>
      </c>
      <c r="D89" s="7">
        <v>45636</v>
      </c>
      <c r="E89" s="7">
        <v>45525</v>
      </c>
      <c r="F89" s="6" t="s">
        <v>303</v>
      </c>
      <c r="G89" s="6" t="s">
        <v>488</v>
      </c>
    </row>
    <row r="90" spans="1:7" ht="42.75" customHeight="1">
      <c r="A90" s="6" t="s">
        <v>489</v>
      </c>
      <c r="B90" s="6" t="str">
        <f t="shared" si="1"/>
        <v>ORD81669</v>
      </c>
      <c r="C90" s="23" t="s">
        <v>44</v>
      </c>
      <c r="D90" s="7">
        <v>45411</v>
      </c>
      <c r="E90" s="7">
        <v>45563</v>
      </c>
      <c r="F90" s="6" t="s">
        <v>321</v>
      </c>
      <c r="G90" s="6" t="s">
        <v>490</v>
      </c>
    </row>
    <row r="91" spans="1:7" ht="42.75" customHeight="1">
      <c r="A91" s="6" t="s">
        <v>491</v>
      </c>
      <c r="B91" s="6" t="str">
        <f t="shared" si="1"/>
        <v>ORD81670</v>
      </c>
      <c r="C91" s="23" t="s">
        <v>49</v>
      </c>
      <c r="D91" s="7">
        <v>45507</v>
      </c>
      <c r="E91" s="7">
        <v>45397</v>
      </c>
      <c r="F91" s="6" t="s">
        <v>303</v>
      </c>
      <c r="G91" s="6" t="s">
        <v>492</v>
      </c>
    </row>
    <row r="92" spans="1:7" ht="42.75" customHeight="1">
      <c r="A92" s="6" t="s">
        <v>493</v>
      </c>
      <c r="B92" s="6" t="str">
        <f t="shared" si="1"/>
        <v>ORD81671</v>
      </c>
      <c r="C92" s="23" t="s">
        <v>49</v>
      </c>
      <c r="D92" s="7">
        <v>45330</v>
      </c>
      <c r="E92" s="7">
        <v>45346</v>
      </c>
      <c r="F92" s="6" t="s">
        <v>303</v>
      </c>
      <c r="G92" s="6" t="s">
        <v>494</v>
      </c>
    </row>
    <row r="93" spans="1:7" ht="42.75" customHeight="1">
      <c r="A93" s="6" t="s">
        <v>495</v>
      </c>
      <c r="B93" s="6" t="str">
        <f t="shared" si="1"/>
        <v>ORD81672</v>
      </c>
      <c r="C93" s="23" t="s">
        <v>41</v>
      </c>
      <c r="D93" s="7">
        <v>45371</v>
      </c>
      <c r="E93" s="7">
        <v>45441</v>
      </c>
      <c r="F93" s="6" t="s">
        <v>303</v>
      </c>
      <c r="G93" s="6" t="s">
        <v>496</v>
      </c>
    </row>
    <row r="94" spans="1:7" ht="42.75" customHeight="1">
      <c r="A94" s="6" t="s">
        <v>497</v>
      </c>
      <c r="B94" s="6" t="str">
        <f t="shared" si="1"/>
        <v>ORD81673</v>
      </c>
      <c r="C94" s="23" t="s">
        <v>46</v>
      </c>
      <c r="D94" s="7">
        <v>45594</v>
      </c>
      <c r="E94" s="7">
        <v>45528</v>
      </c>
      <c r="F94" s="6" t="s">
        <v>318</v>
      </c>
      <c r="G94" s="6" t="s">
        <v>498</v>
      </c>
    </row>
    <row r="95" spans="1:7" ht="42.75" customHeight="1">
      <c r="A95" s="6" t="s">
        <v>499</v>
      </c>
      <c r="B95" s="6" t="str">
        <f t="shared" si="1"/>
        <v>ORD81674</v>
      </c>
      <c r="C95" s="23" t="s">
        <v>44</v>
      </c>
      <c r="D95" s="7">
        <v>45344</v>
      </c>
      <c r="E95" s="7">
        <v>45592</v>
      </c>
      <c r="F95" s="6" t="s">
        <v>318</v>
      </c>
      <c r="G95" s="6" t="s">
        <v>500</v>
      </c>
    </row>
    <row r="96" spans="1:7" ht="42.75" customHeight="1">
      <c r="A96" s="6" t="s">
        <v>501</v>
      </c>
      <c r="B96" s="6" t="str">
        <f t="shared" si="1"/>
        <v>ORD81675</v>
      </c>
      <c r="C96" s="23" t="s">
        <v>49</v>
      </c>
      <c r="D96" s="7">
        <v>45420</v>
      </c>
      <c r="E96" s="7">
        <v>45412</v>
      </c>
      <c r="F96" s="6" t="s">
        <v>321</v>
      </c>
      <c r="G96" s="6" t="s">
        <v>502</v>
      </c>
    </row>
    <row r="97" spans="1:7" ht="42.75" customHeight="1">
      <c r="A97" s="6" t="s">
        <v>503</v>
      </c>
      <c r="B97" s="6" t="str">
        <f t="shared" si="1"/>
        <v>ORD81676</v>
      </c>
      <c r="C97" s="23" t="s">
        <v>46</v>
      </c>
      <c r="D97" s="7">
        <v>45392</v>
      </c>
      <c r="E97" s="7">
        <v>45639</v>
      </c>
      <c r="F97" s="6" t="s">
        <v>318</v>
      </c>
      <c r="G97" s="6" t="s">
        <v>504</v>
      </c>
    </row>
    <row r="98" spans="1:7" ht="42.75" customHeight="1">
      <c r="A98" s="6" t="s">
        <v>505</v>
      </c>
      <c r="B98" s="6" t="str">
        <f t="shared" si="1"/>
        <v>ORD81677</v>
      </c>
      <c r="C98" s="23" t="s">
        <v>46</v>
      </c>
      <c r="D98" s="7">
        <v>45579</v>
      </c>
      <c r="E98" s="7">
        <v>45408</v>
      </c>
      <c r="F98" s="6" t="s">
        <v>303</v>
      </c>
      <c r="G98" s="6" t="s">
        <v>506</v>
      </c>
    </row>
    <row r="99" spans="1:7" ht="42.75" customHeight="1">
      <c r="A99" s="6" t="s">
        <v>507</v>
      </c>
      <c r="B99" s="6" t="str">
        <f t="shared" si="1"/>
        <v>ORD81678</v>
      </c>
      <c r="C99" s="23" t="s">
        <v>44</v>
      </c>
      <c r="D99" s="7">
        <v>45448</v>
      </c>
      <c r="E99" s="7">
        <v>45368</v>
      </c>
      <c r="F99" s="6" t="s">
        <v>318</v>
      </c>
      <c r="G99" s="6" t="s">
        <v>508</v>
      </c>
    </row>
    <row r="100" spans="1:7" ht="42.75" customHeight="1">
      <c r="A100" s="6" t="s">
        <v>509</v>
      </c>
      <c r="B100" s="6" t="str">
        <f t="shared" si="1"/>
        <v>ORD81679</v>
      </c>
      <c r="C100" s="23" t="s">
        <v>46</v>
      </c>
      <c r="D100" s="7">
        <v>45542</v>
      </c>
      <c r="E100" s="7">
        <v>45381</v>
      </c>
      <c r="F100" s="6" t="s">
        <v>303</v>
      </c>
      <c r="G100" s="6" t="s">
        <v>510</v>
      </c>
    </row>
    <row r="101" spans="1:7" ht="42.75" customHeight="1">
      <c r="A101" s="6" t="s">
        <v>511</v>
      </c>
      <c r="B101" s="6" t="str">
        <f t="shared" si="1"/>
        <v>ORD81680</v>
      </c>
      <c r="C101" s="23" t="s">
        <v>44</v>
      </c>
      <c r="D101" s="7">
        <v>45460</v>
      </c>
      <c r="E101" s="7">
        <v>45363</v>
      </c>
      <c r="F101" s="6" t="s">
        <v>321</v>
      </c>
      <c r="G101" s="6" t="s">
        <v>512</v>
      </c>
    </row>
    <row r="102" spans="1:7" ht="42.75" customHeight="1">
      <c r="A102" s="6" t="s">
        <v>513</v>
      </c>
      <c r="B102" s="6" t="str">
        <f t="shared" si="1"/>
        <v>ORD81681</v>
      </c>
      <c r="C102" s="23" t="s">
        <v>49</v>
      </c>
      <c r="D102" s="7">
        <v>45461</v>
      </c>
      <c r="E102" s="7">
        <v>45533</v>
      </c>
      <c r="F102" s="6" t="s">
        <v>321</v>
      </c>
      <c r="G102" s="6" t="s">
        <v>514</v>
      </c>
    </row>
    <row r="103" spans="1:7" ht="42.75" customHeight="1">
      <c r="A103" s="6" t="s">
        <v>515</v>
      </c>
      <c r="B103" s="6" t="str">
        <f t="shared" si="1"/>
        <v>ORD81682</v>
      </c>
      <c r="C103" s="23" t="s">
        <v>44</v>
      </c>
      <c r="D103" s="7">
        <v>45570</v>
      </c>
      <c r="E103" s="7">
        <v>45500</v>
      </c>
      <c r="F103" s="6" t="s">
        <v>318</v>
      </c>
      <c r="G103" s="6" t="s">
        <v>516</v>
      </c>
    </row>
    <row r="104" spans="1:7" ht="42.75" customHeight="1">
      <c r="A104" s="6" t="s">
        <v>517</v>
      </c>
      <c r="B104" s="6" t="str">
        <f t="shared" si="1"/>
        <v>ORD81683</v>
      </c>
      <c r="C104" s="23" t="s">
        <v>44</v>
      </c>
      <c r="D104" s="7">
        <v>45336</v>
      </c>
      <c r="E104" s="7">
        <v>45422</v>
      </c>
      <c r="F104" s="6" t="s">
        <v>321</v>
      </c>
      <c r="G104" s="6" t="s">
        <v>518</v>
      </c>
    </row>
    <row r="105" spans="1:7" ht="42.75" customHeight="1">
      <c r="A105" s="6" t="s">
        <v>519</v>
      </c>
      <c r="B105" s="6" t="str">
        <f t="shared" si="1"/>
        <v>ORD81684</v>
      </c>
      <c r="C105" s="23" t="s">
        <v>44</v>
      </c>
      <c r="D105" s="7">
        <v>45483</v>
      </c>
      <c r="E105" s="7">
        <v>45291</v>
      </c>
      <c r="F105" s="6" t="s">
        <v>303</v>
      </c>
      <c r="G105" s="6" t="s">
        <v>520</v>
      </c>
    </row>
    <row r="106" spans="1:7" ht="42.75" customHeight="1">
      <c r="A106" s="6" t="s">
        <v>521</v>
      </c>
      <c r="B106" s="6" t="str">
        <f t="shared" si="1"/>
        <v>ORD81685</v>
      </c>
      <c r="C106" s="23" t="s">
        <v>41</v>
      </c>
      <c r="D106" s="7">
        <v>45468</v>
      </c>
      <c r="E106" s="7">
        <v>45320</v>
      </c>
      <c r="F106" s="6" t="s">
        <v>321</v>
      </c>
      <c r="G106" s="6" t="s">
        <v>522</v>
      </c>
    </row>
    <row r="107" spans="1:7" ht="42.75" customHeight="1">
      <c r="A107" s="6" t="s">
        <v>523</v>
      </c>
      <c r="B107" s="6" t="str">
        <f t="shared" si="1"/>
        <v>ORD81686</v>
      </c>
      <c r="C107" s="23" t="s">
        <v>41</v>
      </c>
      <c r="D107" s="7">
        <v>45612</v>
      </c>
      <c r="E107" s="7">
        <v>45514</v>
      </c>
      <c r="F107" s="6" t="s">
        <v>318</v>
      </c>
      <c r="G107" s="6" t="s">
        <v>524</v>
      </c>
    </row>
    <row r="108" spans="1:7" ht="42.75" customHeight="1">
      <c r="A108" s="6" t="s">
        <v>525</v>
      </c>
      <c r="B108" s="6" t="str">
        <f t="shared" si="1"/>
        <v>ORD81687</v>
      </c>
      <c r="C108" s="23" t="s">
        <v>49</v>
      </c>
      <c r="D108" s="7">
        <v>45362</v>
      </c>
      <c r="E108" s="7">
        <v>45617</v>
      </c>
      <c r="F108" s="6" t="s">
        <v>318</v>
      </c>
      <c r="G108" s="6" t="s">
        <v>526</v>
      </c>
    </row>
    <row r="109" spans="1:7" ht="42.75" customHeight="1">
      <c r="A109" s="6" t="s">
        <v>527</v>
      </c>
      <c r="B109" s="6" t="str">
        <f t="shared" si="1"/>
        <v>ORD81688</v>
      </c>
      <c r="C109" s="23" t="s">
        <v>41</v>
      </c>
      <c r="D109" s="7">
        <v>45473</v>
      </c>
      <c r="E109" s="7">
        <v>45568</v>
      </c>
      <c r="F109" s="6" t="s">
        <v>318</v>
      </c>
      <c r="G109" s="6" t="s">
        <v>528</v>
      </c>
    </row>
    <row r="110" spans="1:7" ht="42.75" customHeight="1">
      <c r="A110" s="6" t="s">
        <v>529</v>
      </c>
      <c r="B110" s="6" t="str">
        <f t="shared" si="1"/>
        <v>ORD81689</v>
      </c>
      <c r="C110" s="23" t="s">
        <v>44</v>
      </c>
      <c r="D110" s="7">
        <v>45610</v>
      </c>
      <c r="E110" s="7">
        <v>45628</v>
      </c>
      <c r="F110" s="6" t="s">
        <v>318</v>
      </c>
      <c r="G110" s="6" t="s">
        <v>530</v>
      </c>
    </row>
    <row r="111" spans="1:7" ht="42.75" customHeight="1">
      <c r="A111" s="6" t="s">
        <v>531</v>
      </c>
      <c r="B111" s="6" t="str">
        <f t="shared" si="1"/>
        <v>ORD81690</v>
      </c>
      <c r="C111" s="23" t="s">
        <v>46</v>
      </c>
      <c r="D111" s="7">
        <v>45390</v>
      </c>
      <c r="E111" s="7">
        <v>45300</v>
      </c>
      <c r="F111" s="6" t="s">
        <v>321</v>
      </c>
      <c r="G111" s="6" t="s">
        <v>532</v>
      </c>
    </row>
    <row r="112" spans="1:7" ht="42.75" customHeight="1">
      <c r="A112" s="6" t="s">
        <v>533</v>
      </c>
      <c r="B112" s="6" t="str">
        <f t="shared" si="1"/>
        <v>ORD81691</v>
      </c>
      <c r="C112" s="23" t="s">
        <v>44</v>
      </c>
      <c r="D112" s="7">
        <v>45470</v>
      </c>
      <c r="E112" s="7">
        <v>45304</v>
      </c>
      <c r="F112" s="6" t="s">
        <v>321</v>
      </c>
      <c r="G112" s="6" t="s">
        <v>534</v>
      </c>
    </row>
    <row r="113" spans="1:7" ht="42.75" customHeight="1">
      <c r="A113" s="6" t="s">
        <v>535</v>
      </c>
      <c r="B113" s="6" t="str">
        <f t="shared" si="1"/>
        <v>ORD81692</v>
      </c>
      <c r="C113" s="23" t="s">
        <v>46</v>
      </c>
      <c r="D113" s="7">
        <v>45549</v>
      </c>
      <c r="E113" s="7">
        <v>45343</v>
      </c>
      <c r="F113" s="6" t="s">
        <v>321</v>
      </c>
      <c r="G113" s="6" t="s">
        <v>536</v>
      </c>
    </row>
    <row r="114" spans="1:7" ht="42.75" customHeight="1">
      <c r="A114" s="6" t="s">
        <v>537</v>
      </c>
      <c r="B114" s="6" t="str">
        <f t="shared" si="1"/>
        <v>ORD81693</v>
      </c>
      <c r="C114" s="23" t="s">
        <v>41</v>
      </c>
      <c r="D114" s="7">
        <v>45350</v>
      </c>
      <c r="E114" s="7">
        <v>45520</v>
      </c>
      <c r="F114" s="6" t="s">
        <v>318</v>
      </c>
      <c r="G114" s="6" t="s">
        <v>538</v>
      </c>
    </row>
    <row r="115" spans="1:7" ht="42.75" customHeight="1">
      <c r="A115" s="6" t="s">
        <v>539</v>
      </c>
      <c r="B115" s="6" t="str">
        <f t="shared" si="1"/>
        <v>ORD81694</v>
      </c>
      <c r="C115" s="23" t="s">
        <v>41</v>
      </c>
      <c r="D115" s="7">
        <v>45622</v>
      </c>
      <c r="E115" s="7">
        <v>45552</v>
      </c>
      <c r="F115" s="6" t="s">
        <v>318</v>
      </c>
      <c r="G115" s="6" t="s">
        <v>540</v>
      </c>
    </row>
    <row r="116" spans="1:7" ht="42.75" customHeight="1">
      <c r="A116" s="6" t="s">
        <v>541</v>
      </c>
      <c r="B116" s="6" t="str">
        <f t="shared" si="1"/>
        <v>ORD81695</v>
      </c>
      <c r="C116" s="23" t="s">
        <v>41</v>
      </c>
      <c r="D116" s="7">
        <v>45409</v>
      </c>
      <c r="E116" s="7">
        <v>45623</v>
      </c>
      <c r="F116" s="6" t="s">
        <v>303</v>
      </c>
      <c r="G116" s="6" t="s">
        <v>542</v>
      </c>
    </row>
    <row r="117" spans="1:7" ht="42.75" customHeight="1">
      <c r="A117" s="6" t="s">
        <v>543</v>
      </c>
      <c r="B117" s="6" t="str">
        <f t="shared" si="1"/>
        <v>ORD81696</v>
      </c>
      <c r="C117" s="23" t="s">
        <v>49</v>
      </c>
      <c r="D117" s="7">
        <v>45470</v>
      </c>
      <c r="E117" s="7">
        <v>45291</v>
      </c>
      <c r="F117" s="6" t="s">
        <v>318</v>
      </c>
      <c r="G117" s="6" t="s">
        <v>544</v>
      </c>
    </row>
    <row r="118" spans="1:7" ht="42.75" customHeight="1">
      <c r="A118" s="6" t="s">
        <v>545</v>
      </c>
      <c r="B118" s="6" t="str">
        <f t="shared" si="1"/>
        <v>ORD81697</v>
      </c>
      <c r="C118" s="23" t="s">
        <v>46</v>
      </c>
      <c r="D118" s="7">
        <v>45323</v>
      </c>
      <c r="E118" s="7">
        <v>45490</v>
      </c>
      <c r="F118" s="6" t="s">
        <v>303</v>
      </c>
      <c r="G118" s="6" t="s">
        <v>546</v>
      </c>
    </row>
    <row r="119" spans="1:7" ht="42.75" customHeight="1">
      <c r="A119" s="6" t="s">
        <v>547</v>
      </c>
      <c r="B119" s="6" t="str">
        <f t="shared" si="1"/>
        <v>ORD81698</v>
      </c>
      <c r="C119" s="23" t="s">
        <v>41</v>
      </c>
      <c r="D119" s="7">
        <v>45366</v>
      </c>
      <c r="E119" s="7">
        <v>45560</v>
      </c>
      <c r="F119" s="6" t="s">
        <v>318</v>
      </c>
      <c r="G119" s="6" t="s">
        <v>548</v>
      </c>
    </row>
    <row r="120" spans="1:7" ht="42.75" customHeight="1">
      <c r="A120" s="6" t="s">
        <v>549</v>
      </c>
      <c r="B120" s="6" t="str">
        <f t="shared" si="1"/>
        <v>ORD81699</v>
      </c>
      <c r="C120" s="23" t="s">
        <v>46</v>
      </c>
      <c r="D120" s="7">
        <v>45442</v>
      </c>
      <c r="E120" s="7">
        <v>45596</v>
      </c>
      <c r="F120" s="6" t="s">
        <v>318</v>
      </c>
      <c r="G120" s="6" t="s">
        <v>550</v>
      </c>
    </row>
    <row r="121" spans="1:7" ht="42.75" customHeight="1">
      <c r="A121" s="6" t="s">
        <v>551</v>
      </c>
      <c r="B121" s="6" t="str">
        <f t="shared" si="1"/>
        <v>ORD81700</v>
      </c>
      <c r="C121" s="23" t="s">
        <v>49</v>
      </c>
      <c r="D121" s="7">
        <v>45571</v>
      </c>
      <c r="E121" s="7">
        <v>45447</v>
      </c>
      <c r="F121" s="6" t="s">
        <v>321</v>
      </c>
      <c r="G121" s="6" t="s">
        <v>552</v>
      </c>
    </row>
    <row r="122" spans="1:7" ht="42.75" customHeight="1">
      <c r="A122" s="6" t="s">
        <v>553</v>
      </c>
      <c r="B122" s="6" t="str">
        <f t="shared" si="1"/>
        <v>ORD81701</v>
      </c>
      <c r="C122" s="23" t="s">
        <v>44</v>
      </c>
      <c r="D122" s="7">
        <v>45478</v>
      </c>
      <c r="E122" s="7">
        <v>45467</v>
      </c>
      <c r="F122" s="6" t="s">
        <v>303</v>
      </c>
      <c r="G122" s="6" t="s">
        <v>554</v>
      </c>
    </row>
    <row r="123" spans="1:7" ht="42.75" customHeight="1">
      <c r="A123" s="6" t="s">
        <v>555</v>
      </c>
      <c r="B123" s="6" t="str">
        <f t="shared" si="1"/>
        <v>ORD81702</v>
      </c>
      <c r="C123" s="23" t="s">
        <v>46</v>
      </c>
      <c r="D123" s="7">
        <v>45560</v>
      </c>
      <c r="E123" s="7">
        <v>45505</v>
      </c>
      <c r="F123" s="6" t="s">
        <v>303</v>
      </c>
      <c r="G123" s="6" t="s">
        <v>556</v>
      </c>
    </row>
    <row r="124" spans="1:7" ht="42.75" customHeight="1">
      <c r="A124" s="6" t="s">
        <v>557</v>
      </c>
      <c r="B124" s="6" t="str">
        <f t="shared" si="1"/>
        <v>ORD81703</v>
      </c>
      <c r="C124" s="23" t="s">
        <v>49</v>
      </c>
      <c r="D124" s="7">
        <v>45476</v>
      </c>
      <c r="E124" s="7">
        <v>45625</v>
      </c>
      <c r="F124" s="6" t="s">
        <v>318</v>
      </c>
      <c r="G124" s="6" t="s">
        <v>558</v>
      </c>
    </row>
    <row r="125" spans="1:7" ht="42.75" customHeight="1">
      <c r="A125" s="6" t="s">
        <v>559</v>
      </c>
      <c r="B125" s="6" t="str">
        <f t="shared" si="1"/>
        <v>ORD81704</v>
      </c>
      <c r="C125" s="23" t="s">
        <v>46</v>
      </c>
      <c r="D125" s="7">
        <v>45570</v>
      </c>
      <c r="E125" s="7">
        <v>45473</v>
      </c>
      <c r="F125" s="6" t="s">
        <v>321</v>
      </c>
      <c r="G125" s="6" t="s">
        <v>560</v>
      </c>
    </row>
    <row r="126" spans="1:7" ht="42.75" customHeight="1">
      <c r="A126" s="6" t="s">
        <v>561</v>
      </c>
      <c r="B126" s="6" t="str">
        <f t="shared" si="1"/>
        <v>ORD81705</v>
      </c>
      <c r="C126" s="23" t="s">
        <v>49</v>
      </c>
      <c r="D126" s="7">
        <v>45483</v>
      </c>
      <c r="E126" s="7">
        <v>45373</v>
      </c>
      <c r="F126" s="6" t="s">
        <v>303</v>
      </c>
      <c r="G126" s="6" t="s">
        <v>562</v>
      </c>
    </row>
    <row r="127" spans="1:7" ht="42.75" customHeight="1">
      <c r="A127" s="6" t="s">
        <v>563</v>
      </c>
      <c r="B127" s="6" t="str">
        <f t="shared" si="1"/>
        <v>ORD81706</v>
      </c>
      <c r="C127" s="23" t="s">
        <v>49</v>
      </c>
      <c r="D127" s="7">
        <v>45436</v>
      </c>
      <c r="E127" s="7">
        <v>45608</v>
      </c>
      <c r="F127" s="6" t="s">
        <v>303</v>
      </c>
      <c r="G127" s="6" t="s">
        <v>564</v>
      </c>
    </row>
    <row r="128" spans="1:7" ht="42.75" customHeight="1">
      <c r="A128" s="6" t="s">
        <v>565</v>
      </c>
      <c r="B128" s="6" t="str">
        <f t="shared" si="1"/>
        <v>ORD81707</v>
      </c>
      <c r="C128" s="23" t="s">
        <v>49</v>
      </c>
      <c r="D128" s="7">
        <v>45578</v>
      </c>
      <c r="E128" s="7">
        <v>45566</v>
      </c>
      <c r="F128" s="6" t="s">
        <v>321</v>
      </c>
      <c r="G128" s="6" t="s">
        <v>566</v>
      </c>
    </row>
    <row r="129" spans="1:7" ht="42.75" customHeight="1">
      <c r="A129" s="6" t="s">
        <v>567</v>
      </c>
      <c r="B129" s="6" t="str">
        <f t="shared" si="1"/>
        <v>ORD81708</v>
      </c>
      <c r="C129" s="23" t="s">
        <v>46</v>
      </c>
      <c r="D129" s="7">
        <v>45551</v>
      </c>
      <c r="E129" s="7">
        <v>45462</v>
      </c>
      <c r="F129" s="6" t="s">
        <v>303</v>
      </c>
      <c r="G129" s="6" t="s">
        <v>568</v>
      </c>
    </row>
    <row r="130" spans="1:7" ht="42.75" customHeight="1">
      <c r="A130" s="6" t="s">
        <v>569</v>
      </c>
      <c r="B130" s="6" t="str">
        <f t="shared" si="1"/>
        <v>ORD81709</v>
      </c>
      <c r="C130" s="23" t="s">
        <v>41</v>
      </c>
      <c r="D130" s="7">
        <v>45498</v>
      </c>
      <c r="E130" s="7">
        <v>45488</v>
      </c>
      <c r="F130" s="6" t="s">
        <v>321</v>
      </c>
      <c r="G130" s="6" t="s">
        <v>570</v>
      </c>
    </row>
    <row r="131" spans="1:7" ht="42.75" customHeight="1">
      <c r="A131" s="6" t="s">
        <v>571</v>
      </c>
      <c r="B131" s="6" t="str">
        <f t="shared" si="1"/>
        <v>ORD81710</v>
      </c>
      <c r="C131" s="23" t="s">
        <v>41</v>
      </c>
      <c r="D131" s="7">
        <v>45343</v>
      </c>
      <c r="E131" s="7">
        <v>45632</v>
      </c>
      <c r="F131" s="6" t="s">
        <v>318</v>
      </c>
      <c r="G131" s="6" t="s">
        <v>572</v>
      </c>
    </row>
    <row r="132" spans="1:7" ht="42.75" customHeight="1">
      <c r="A132" s="6" t="s">
        <v>573</v>
      </c>
      <c r="B132" s="6" t="str">
        <f t="shared" ref="B132:B195" si="2">"ORD" &amp; TEXT(RIGHT(B131,5) +1, "00000")</f>
        <v>ORD81711</v>
      </c>
      <c r="C132" s="23" t="s">
        <v>44</v>
      </c>
      <c r="D132" s="7">
        <v>45336</v>
      </c>
      <c r="E132" s="7">
        <v>45438</v>
      </c>
      <c r="F132" s="6" t="s">
        <v>318</v>
      </c>
      <c r="G132" s="6" t="s">
        <v>574</v>
      </c>
    </row>
    <row r="133" spans="1:7" ht="42.75" customHeight="1">
      <c r="A133" s="6" t="s">
        <v>575</v>
      </c>
      <c r="B133" s="6" t="str">
        <f t="shared" si="2"/>
        <v>ORD81712</v>
      </c>
      <c r="C133" s="23" t="s">
        <v>44</v>
      </c>
      <c r="D133" s="7">
        <v>45433</v>
      </c>
      <c r="E133" s="7">
        <v>45457</v>
      </c>
      <c r="F133" s="6" t="s">
        <v>321</v>
      </c>
      <c r="G133" s="6" t="s">
        <v>576</v>
      </c>
    </row>
    <row r="134" spans="1:7" ht="42.75" customHeight="1">
      <c r="A134" s="6" t="s">
        <v>577</v>
      </c>
      <c r="B134" s="6" t="str">
        <f t="shared" si="2"/>
        <v>ORD81713</v>
      </c>
      <c r="C134" s="23" t="s">
        <v>44</v>
      </c>
      <c r="D134" s="7">
        <v>45300</v>
      </c>
      <c r="E134" s="7">
        <v>45394</v>
      </c>
      <c r="F134" s="6" t="s">
        <v>321</v>
      </c>
      <c r="G134" s="6" t="s">
        <v>578</v>
      </c>
    </row>
    <row r="135" spans="1:7" ht="42.75" customHeight="1">
      <c r="A135" s="6" t="s">
        <v>579</v>
      </c>
      <c r="B135" s="6" t="str">
        <f t="shared" si="2"/>
        <v>ORD81714</v>
      </c>
      <c r="C135" s="23" t="s">
        <v>44</v>
      </c>
      <c r="D135" s="7">
        <v>45569</v>
      </c>
      <c r="E135" s="7">
        <v>45479</v>
      </c>
      <c r="F135" s="6" t="s">
        <v>303</v>
      </c>
      <c r="G135" s="6" t="s">
        <v>580</v>
      </c>
    </row>
    <row r="136" spans="1:7" ht="42.75" customHeight="1">
      <c r="A136" s="6" t="s">
        <v>581</v>
      </c>
      <c r="B136" s="6" t="str">
        <f t="shared" si="2"/>
        <v>ORD81715</v>
      </c>
      <c r="C136" s="23" t="s">
        <v>44</v>
      </c>
      <c r="D136" s="7">
        <v>45454</v>
      </c>
      <c r="E136" s="7">
        <v>45382</v>
      </c>
      <c r="F136" s="6" t="s">
        <v>303</v>
      </c>
      <c r="G136" s="6" t="s">
        <v>582</v>
      </c>
    </row>
    <row r="137" spans="1:7" ht="42.75" customHeight="1">
      <c r="A137" s="6" t="s">
        <v>583</v>
      </c>
      <c r="B137" s="6" t="str">
        <f t="shared" si="2"/>
        <v>ORD81716</v>
      </c>
      <c r="C137" s="23" t="s">
        <v>46</v>
      </c>
      <c r="D137" s="7">
        <v>45330</v>
      </c>
      <c r="E137" s="7">
        <v>45496</v>
      </c>
      <c r="F137" s="6" t="s">
        <v>303</v>
      </c>
      <c r="G137" s="6" t="s">
        <v>584</v>
      </c>
    </row>
    <row r="138" spans="1:7" ht="42.75" customHeight="1">
      <c r="A138" s="6" t="s">
        <v>585</v>
      </c>
      <c r="B138" s="6" t="str">
        <f t="shared" si="2"/>
        <v>ORD81717</v>
      </c>
      <c r="C138" s="23" t="s">
        <v>44</v>
      </c>
      <c r="D138" s="7">
        <v>45542</v>
      </c>
      <c r="E138" s="7">
        <v>45545</v>
      </c>
      <c r="F138" s="6" t="s">
        <v>303</v>
      </c>
      <c r="G138" s="6" t="s">
        <v>586</v>
      </c>
    </row>
    <row r="139" spans="1:7" ht="42.75" customHeight="1">
      <c r="A139" s="6" t="s">
        <v>587</v>
      </c>
      <c r="B139" s="6" t="str">
        <f t="shared" si="2"/>
        <v>ORD81718</v>
      </c>
      <c r="C139" s="23" t="s">
        <v>44</v>
      </c>
      <c r="D139" s="7">
        <v>45421</v>
      </c>
      <c r="E139" s="7">
        <v>45355</v>
      </c>
      <c r="F139" s="6" t="s">
        <v>318</v>
      </c>
      <c r="G139" s="6" t="s">
        <v>588</v>
      </c>
    </row>
    <row r="140" spans="1:7" ht="42.75" customHeight="1">
      <c r="A140" s="6" t="s">
        <v>589</v>
      </c>
      <c r="B140" s="6" t="str">
        <f t="shared" si="2"/>
        <v>ORD81719</v>
      </c>
      <c r="C140" s="23" t="s">
        <v>41</v>
      </c>
      <c r="D140" s="7">
        <v>45366</v>
      </c>
      <c r="E140" s="7">
        <v>45429</v>
      </c>
      <c r="F140" s="6" t="s">
        <v>303</v>
      </c>
      <c r="G140" s="6" t="s">
        <v>590</v>
      </c>
    </row>
    <row r="141" spans="1:7" ht="42.75" customHeight="1">
      <c r="A141" s="6" t="s">
        <v>591</v>
      </c>
      <c r="B141" s="6" t="str">
        <f t="shared" si="2"/>
        <v>ORD81720</v>
      </c>
      <c r="C141" s="23" t="s">
        <v>41</v>
      </c>
      <c r="D141" s="7">
        <v>45486</v>
      </c>
      <c r="E141" s="7">
        <v>45583</v>
      </c>
      <c r="F141" s="6" t="s">
        <v>321</v>
      </c>
      <c r="G141" s="6" t="s">
        <v>592</v>
      </c>
    </row>
    <row r="142" spans="1:7" ht="42.75" customHeight="1">
      <c r="A142" s="6" t="s">
        <v>593</v>
      </c>
      <c r="B142" s="6" t="str">
        <f t="shared" si="2"/>
        <v>ORD81721</v>
      </c>
      <c r="C142" s="23" t="s">
        <v>49</v>
      </c>
      <c r="D142" s="7">
        <v>45554</v>
      </c>
      <c r="E142" s="7">
        <v>45536</v>
      </c>
      <c r="F142" s="6" t="s">
        <v>318</v>
      </c>
      <c r="G142" s="6" t="s">
        <v>594</v>
      </c>
    </row>
    <row r="143" spans="1:7" ht="42.75" customHeight="1">
      <c r="A143" s="6" t="s">
        <v>595</v>
      </c>
      <c r="B143" s="6" t="str">
        <f t="shared" si="2"/>
        <v>ORD81722</v>
      </c>
      <c r="C143" s="23" t="s">
        <v>41</v>
      </c>
      <c r="D143" s="7">
        <v>45445</v>
      </c>
      <c r="E143" s="7">
        <v>45301</v>
      </c>
      <c r="F143" s="6" t="s">
        <v>321</v>
      </c>
      <c r="G143" s="6" t="s">
        <v>596</v>
      </c>
    </row>
    <row r="144" spans="1:7" ht="42.75" customHeight="1">
      <c r="A144" s="6" t="s">
        <v>597</v>
      </c>
      <c r="B144" s="6" t="str">
        <f t="shared" si="2"/>
        <v>ORD81723</v>
      </c>
      <c r="C144" s="23" t="s">
        <v>46</v>
      </c>
      <c r="D144" s="7">
        <v>45508</v>
      </c>
      <c r="E144" s="7">
        <v>45495</v>
      </c>
      <c r="F144" s="6" t="s">
        <v>318</v>
      </c>
      <c r="G144" s="6" t="s">
        <v>598</v>
      </c>
    </row>
    <row r="145" spans="1:7" ht="42.75" customHeight="1">
      <c r="A145" s="6" t="s">
        <v>599</v>
      </c>
      <c r="B145" s="6" t="str">
        <f t="shared" si="2"/>
        <v>ORD81724</v>
      </c>
      <c r="C145" s="23" t="s">
        <v>46</v>
      </c>
      <c r="D145" s="7">
        <v>45491</v>
      </c>
      <c r="E145" s="7">
        <v>45629</v>
      </c>
      <c r="F145" s="6" t="s">
        <v>318</v>
      </c>
      <c r="G145" s="6" t="s">
        <v>600</v>
      </c>
    </row>
    <row r="146" spans="1:7" ht="42.75" customHeight="1">
      <c r="A146" s="6" t="s">
        <v>601</v>
      </c>
      <c r="B146" s="6" t="str">
        <f t="shared" si="2"/>
        <v>ORD81725</v>
      </c>
      <c r="C146" s="23" t="s">
        <v>41</v>
      </c>
      <c r="D146" s="7">
        <v>45347</v>
      </c>
      <c r="E146" s="7">
        <v>45452</v>
      </c>
      <c r="F146" s="6" t="s">
        <v>303</v>
      </c>
      <c r="G146" s="6" t="s">
        <v>602</v>
      </c>
    </row>
    <row r="147" spans="1:7" ht="42.75" customHeight="1">
      <c r="A147" s="6" t="s">
        <v>603</v>
      </c>
      <c r="B147" s="6" t="str">
        <f t="shared" si="2"/>
        <v>ORD81726</v>
      </c>
      <c r="C147" s="23" t="s">
        <v>41</v>
      </c>
      <c r="D147" s="7">
        <v>45337</v>
      </c>
      <c r="E147" s="7">
        <v>45289</v>
      </c>
      <c r="F147" s="6" t="s">
        <v>318</v>
      </c>
      <c r="G147" s="6" t="s">
        <v>604</v>
      </c>
    </row>
    <row r="148" spans="1:7" ht="42.75" customHeight="1">
      <c r="A148" s="6" t="s">
        <v>605</v>
      </c>
      <c r="B148" s="6" t="str">
        <f t="shared" si="2"/>
        <v>ORD81727</v>
      </c>
      <c r="C148" s="23" t="s">
        <v>44</v>
      </c>
      <c r="D148" s="7">
        <v>45497</v>
      </c>
      <c r="E148" s="7">
        <v>45596</v>
      </c>
      <c r="F148" s="6" t="s">
        <v>318</v>
      </c>
      <c r="G148" s="6" t="s">
        <v>606</v>
      </c>
    </row>
    <row r="149" spans="1:7" ht="42.75" customHeight="1">
      <c r="A149" s="6" t="s">
        <v>607</v>
      </c>
      <c r="B149" s="6" t="str">
        <f t="shared" si="2"/>
        <v>ORD81728</v>
      </c>
      <c r="C149" s="23" t="s">
        <v>41</v>
      </c>
      <c r="D149" s="7">
        <v>45283</v>
      </c>
      <c r="E149" s="7">
        <v>45510</v>
      </c>
      <c r="F149" s="6" t="s">
        <v>321</v>
      </c>
      <c r="G149" s="6" t="s">
        <v>608</v>
      </c>
    </row>
    <row r="150" spans="1:7" ht="42.75" customHeight="1">
      <c r="A150" s="6" t="s">
        <v>609</v>
      </c>
      <c r="B150" s="6" t="str">
        <f t="shared" si="2"/>
        <v>ORD81729</v>
      </c>
      <c r="C150" s="23" t="s">
        <v>41</v>
      </c>
      <c r="D150" s="7">
        <v>45439</v>
      </c>
      <c r="E150" s="7">
        <v>45388</v>
      </c>
      <c r="F150" s="6" t="s">
        <v>303</v>
      </c>
      <c r="G150" s="6" t="s">
        <v>610</v>
      </c>
    </row>
    <row r="151" spans="1:7" ht="42.75" customHeight="1">
      <c r="A151" s="6" t="s">
        <v>611</v>
      </c>
      <c r="B151" s="6" t="str">
        <f t="shared" si="2"/>
        <v>ORD81730</v>
      </c>
      <c r="C151" s="23" t="s">
        <v>49</v>
      </c>
      <c r="D151" s="7">
        <v>45489</v>
      </c>
      <c r="E151" s="7">
        <v>45452</v>
      </c>
      <c r="F151" s="6" t="s">
        <v>318</v>
      </c>
      <c r="G151" s="6" t="s">
        <v>612</v>
      </c>
    </row>
    <row r="152" spans="1:7" ht="42.75" customHeight="1">
      <c r="A152" s="6" t="s">
        <v>613</v>
      </c>
      <c r="B152" s="6" t="str">
        <f t="shared" si="2"/>
        <v>ORD81731</v>
      </c>
      <c r="C152" s="23" t="s">
        <v>49</v>
      </c>
      <c r="D152" s="7">
        <v>45365</v>
      </c>
      <c r="E152" s="7">
        <v>45579</v>
      </c>
      <c r="F152" s="6" t="s">
        <v>321</v>
      </c>
      <c r="G152" s="6" t="s">
        <v>614</v>
      </c>
    </row>
    <row r="153" spans="1:7" ht="42.75" customHeight="1">
      <c r="A153" s="6" t="s">
        <v>615</v>
      </c>
      <c r="B153" s="6" t="str">
        <f t="shared" si="2"/>
        <v>ORD81732</v>
      </c>
      <c r="C153" s="23" t="s">
        <v>44</v>
      </c>
      <c r="D153" s="7">
        <v>45338</v>
      </c>
      <c r="E153" s="7">
        <v>45429</v>
      </c>
      <c r="F153" s="6" t="s">
        <v>303</v>
      </c>
      <c r="G153" s="6" t="s">
        <v>616</v>
      </c>
    </row>
    <row r="154" spans="1:7" ht="42.75" customHeight="1">
      <c r="A154" s="6" t="s">
        <v>617</v>
      </c>
      <c r="B154" s="6" t="str">
        <f t="shared" si="2"/>
        <v>ORD81733</v>
      </c>
      <c r="C154" s="23" t="s">
        <v>41</v>
      </c>
      <c r="D154" s="7">
        <v>45354</v>
      </c>
      <c r="E154" s="7">
        <v>45318</v>
      </c>
      <c r="F154" s="6" t="s">
        <v>321</v>
      </c>
      <c r="G154" s="6" t="s">
        <v>618</v>
      </c>
    </row>
    <row r="155" spans="1:7" ht="42.75" customHeight="1">
      <c r="A155" s="6" t="s">
        <v>619</v>
      </c>
      <c r="B155" s="6" t="str">
        <f t="shared" si="2"/>
        <v>ORD81734</v>
      </c>
      <c r="C155" s="23" t="s">
        <v>41</v>
      </c>
      <c r="D155" s="7">
        <v>45594</v>
      </c>
      <c r="E155" s="7">
        <v>45507</v>
      </c>
      <c r="F155" s="6" t="s">
        <v>321</v>
      </c>
      <c r="G155" s="6" t="s">
        <v>620</v>
      </c>
    </row>
    <row r="156" spans="1:7" ht="42.75" customHeight="1">
      <c r="A156" s="6" t="s">
        <v>621</v>
      </c>
      <c r="B156" s="6" t="str">
        <f t="shared" si="2"/>
        <v>ORD81735</v>
      </c>
      <c r="C156" s="23" t="s">
        <v>49</v>
      </c>
      <c r="D156" s="7">
        <v>45386</v>
      </c>
      <c r="E156" s="7">
        <v>45592</v>
      </c>
      <c r="F156" s="6" t="s">
        <v>321</v>
      </c>
      <c r="G156" s="6" t="s">
        <v>622</v>
      </c>
    </row>
    <row r="157" spans="1:7" ht="42.75" customHeight="1">
      <c r="A157" s="6" t="s">
        <v>623</v>
      </c>
      <c r="B157" s="6" t="str">
        <f t="shared" si="2"/>
        <v>ORD81736</v>
      </c>
      <c r="C157" s="23" t="s">
        <v>41</v>
      </c>
      <c r="D157" s="7">
        <v>45403</v>
      </c>
      <c r="E157" s="7">
        <v>45539</v>
      </c>
      <c r="F157" s="6" t="s">
        <v>318</v>
      </c>
      <c r="G157" s="6" t="s">
        <v>624</v>
      </c>
    </row>
    <row r="158" spans="1:7" ht="42.75" customHeight="1">
      <c r="A158" s="6" t="s">
        <v>625</v>
      </c>
      <c r="B158" s="6" t="str">
        <f t="shared" si="2"/>
        <v>ORD81737</v>
      </c>
      <c r="C158" s="23" t="s">
        <v>44</v>
      </c>
      <c r="D158" s="7">
        <v>45565</v>
      </c>
      <c r="E158" s="7">
        <v>45620</v>
      </c>
      <c r="F158" s="6" t="s">
        <v>321</v>
      </c>
      <c r="G158" s="6" t="s">
        <v>626</v>
      </c>
    </row>
    <row r="159" spans="1:7" ht="42.75" customHeight="1">
      <c r="A159" s="6" t="s">
        <v>627</v>
      </c>
      <c r="B159" s="6" t="str">
        <f t="shared" si="2"/>
        <v>ORD81738</v>
      </c>
      <c r="C159" s="23" t="s">
        <v>44</v>
      </c>
      <c r="D159" s="7">
        <v>45549</v>
      </c>
      <c r="E159" s="7">
        <v>45513</v>
      </c>
      <c r="F159" s="6" t="s">
        <v>321</v>
      </c>
      <c r="G159" s="6" t="s">
        <v>628</v>
      </c>
    </row>
    <row r="160" spans="1:7" ht="42.75" customHeight="1">
      <c r="A160" s="6" t="s">
        <v>629</v>
      </c>
      <c r="B160" s="6" t="str">
        <f t="shared" si="2"/>
        <v>ORD81739</v>
      </c>
      <c r="C160" s="23" t="s">
        <v>41</v>
      </c>
      <c r="D160" s="7">
        <v>45312</v>
      </c>
      <c r="E160" s="7">
        <v>45461</v>
      </c>
      <c r="F160" s="6" t="s">
        <v>303</v>
      </c>
      <c r="G160" s="6" t="s">
        <v>630</v>
      </c>
    </row>
    <row r="161" spans="1:7" ht="42.75" customHeight="1">
      <c r="A161" s="6" t="s">
        <v>631</v>
      </c>
      <c r="B161" s="6" t="str">
        <f t="shared" si="2"/>
        <v>ORD81740</v>
      </c>
      <c r="C161" s="23" t="s">
        <v>41</v>
      </c>
      <c r="D161" s="7">
        <v>45629</v>
      </c>
      <c r="E161" s="7">
        <v>45563</v>
      </c>
      <c r="F161" s="6" t="s">
        <v>303</v>
      </c>
      <c r="G161" s="6" t="s">
        <v>632</v>
      </c>
    </row>
    <row r="162" spans="1:7" ht="42.75" customHeight="1">
      <c r="A162" s="6" t="s">
        <v>633</v>
      </c>
      <c r="B162" s="6" t="str">
        <f t="shared" si="2"/>
        <v>ORD81741</v>
      </c>
      <c r="C162" s="23" t="s">
        <v>49</v>
      </c>
      <c r="D162" s="7">
        <v>45291</v>
      </c>
      <c r="E162" s="7">
        <v>45639</v>
      </c>
      <c r="F162" s="6" t="s">
        <v>318</v>
      </c>
      <c r="G162" s="6" t="s">
        <v>634</v>
      </c>
    </row>
    <row r="163" spans="1:7" ht="42.75" customHeight="1">
      <c r="A163" s="6" t="s">
        <v>635</v>
      </c>
      <c r="B163" s="6" t="str">
        <f t="shared" si="2"/>
        <v>ORD81742</v>
      </c>
      <c r="C163" s="23" t="s">
        <v>41</v>
      </c>
      <c r="D163" s="7">
        <v>45482</v>
      </c>
      <c r="E163" s="7">
        <v>45462</v>
      </c>
      <c r="F163" s="6" t="s">
        <v>321</v>
      </c>
      <c r="G163" s="6" t="s">
        <v>636</v>
      </c>
    </row>
    <row r="164" spans="1:7" ht="42.75" customHeight="1">
      <c r="A164" s="6" t="s">
        <v>637</v>
      </c>
      <c r="B164" s="6" t="str">
        <f t="shared" si="2"/>
        <v>ORD81743</v>
      </c>
      <c r="C164" s="23" t="s">
        <v>44</v>
      </c>
      <c r="D164" s="7">
        <v>45285</v>
      </c>
      <c r="E164" s="7">
        <v>45542</v>
      </c>
      <c r="F164" s="6" t="s">
        <v>321</v>
      </c>
      <c r="G164" s="6" t="s">
        <v>638</v>
      </c>
    </row>
    <row r="165" spans="1:7" ht="42.75" customHeight="1">
      <c r="A165" s="6" t="s">
        <v>639</v>
      </c>
      <c r="B165" s="6" t="str">
        <f t="shared" si="2"/>
        <v>ORD81744</v>
      </c>
      <c r="C165" s="23" t="s">
        <v>41</v>
      </c>
      <c r="D165" s="7">
        <v>45638</v>
      </c>
      <c r="E165" s="7">
        <v>45568</v>
      </c>
      <c r="F165" s="6" t="s">
        <v>318</v>
      </c>
      <c r="G165" s="6" t="s">
        <v>640</v>
      </c>
    </row>
    <row r="166" spans="1:7" ht="42.75" customHeight="1">
      <c r="A166" s="6" t="s">
        <v>641</v>
      </c>
      <c r="B166" s="6" t="str">
        <f t="shared" si="2"/>
        <v>ORD81745</v>
      </c>
      <c r="C166" s="23" t="s">
        <v>44</v>
      </c>
      <c r="D166" s="7">
        <v>45293</v>
      </c>
      <c r="E166" s="7">
        <v>45596</v>
      </c>
      <c r="F166" s="6" t="s">
        <v>303</v>
      </c>
      <c r="G166" s="6" t="s">
        <v>642</v>
      </c>
    </row>
    <row r="167" spans="1:7" ht="42.75" customHeight="1">
      <c r="A167" s="6" t="s">
        <v>643</v>
      </c>
      <c r="B167" s="6" t="str">
        <f t="shared" si="2"/>
        <v>ORD81746</v>
      </c>
      <c r="C167" s="23" t="s">
        <v>46</v>
      </c>
      <c r="D167" s="7">
        <v>45533</v>
      </c>
      <c r="E167" s="7">
        <v>45282</v>
      </c>
      <c r="F167" s="6" t="s">
        <v>303</v>
      </c>
      <c r="G167" s="6" t="s">
        <v>644</v>
      </c>
    </row>
    <row r="168" spans="1:7" ht="42.75" customHeight="1">
      <c r="A168" s="6" t="s">
        <v>645</v>
      </c>
      <c r="B168" s="6" t="str">
        <f t="shared" si="2"/>
        <v>ORD81747</v>
      </c>
      <c r="C168" s="23" t="s">
        <v>46</v>
      </c>
      <c r="D168" s="7">
        <v>45467</v>
      </c>
      <c r="E168" s="7">
        <v>45517</v>
      </c>
      <c r="F168" s="6" t="s">
        <v>318</v>
      </c>
      <c r="G168" s="6" t="s">
        <v>646</v>
      </c>
    </row>
    <row r="169" spans="1:7" ht="42.75" customHeight="1">
      <c r="A169" s="6" t="s">
        <v>647</v>
      </c>
      <c r="B169" s="6" t="str">
        <f t="shared" si="2"/>
        <v>ORD81748</v>
      </c>
      <c r="C169" s="23" t="s">
        <v>49</v>
      </c>
      <c r="D169" s="7">
        <v>45377</v>
      </c>
      <c r="E169" s="7">
        <v>45639</v>
      </c>
      <c r="F169" s="6" t="s">
        <v>318</v>
      </c>
      <c r="G169" s="6" t="s">
        <v>648</v>
      </c>
    </row>
    <row r="170" spans="1:7" ht="42.75" customHeight="1">
      <c r="A170" s="6" t="s">
        <v>649</v>
      </c>
      <c r="B170" s="6" t="str">
        <f t="shared" si="2"/>
        <v>ORD81749</v>
      </c>
      <c r="C170" s="23" t="s">
        <v>44</v>
      </c>
      <c r="D170" s="7">
        <v>45332</v>
      </c>
      <c r="E170" s="7">
        <v>45457</v>
      </c>
      <c r="F170" s="6" t="s">
        <v>318</v>
      </c>
      <c r="G170" s="6" t="s">
        <v>650</v>
      </c>
    </row>
    <row r="171" spans="1:7" ht="42.75" customHeight="1">
      <c r="A171" s="6" t="s">
        <v>651</v>
      </c>
      <c r="B171" s="6" t="str">
        <f t="shared" si="2"/>
        <v>ORD81750</v>
      </c>
      <c r="C171" s="23" t="s">
        <v>49</v>
      </c>
      <c r="D171" s="7">
        <v>45315</v>
      </c>
      <c r="E171" s="7">
        <v>45491</v>
      </c>
      <c r="F171" s="6" t="s">
        <v>321</v>
      </c>
      <c r="G171" s="6" t="s">
        <v>652</v>
      </c>
    </row>
    <row r="172" spans="1:7" ht="42.75" customHeight="1">
      <c r="A172" s="6" t="s">
        <v>653</v>
      </c>
      <c r="B172" s="6" t="str">
        <f t="shared" si="2"/>
        <v>ORD81751</v>
      </c>
      <c r="C172" s="23" t="s">
        <v>46</v>
      </c>
      <c r="D172" s="7">
        <v>45467</v>
      </c>
      <c r="E172" s="7">
        <v>45541</v>
      </c>
      <c r="F172" s="6" t="s">
        <v>318</v>
      </c>
      <c r="G172" s="6" t="s">
        <v>626</v>
      </c>
    </row>
    <row r="173" spans="1:7" ht="42.75" customHeight="1">
      <c r="A173" s="6" t="s">
        <v>654</v>
      </c>
      <c r="B173" s="6" t="str">
        <f t="shared" si="2"/>
        <v>ORD81752</v>
      </c>
      <c r="C173" s="23" t="s">
        <v>44</v>
      </c>
      <c r="D173" s="7">
        <v>45424</v>
      </c>
      <c r="E173" s="7">
        <v>45603</v>
      </c>
      <c r="F173" s="6" t="s">
        <v>303</v>
      </c>
      <c r="G173" s="6" t="s">
        <v>655</v>
      </c>
    </row>
    <row r="174" spans="1:7" ht="42.75" customHeight="1">
      <c r="A174" s="6" t="s">
        <v>656</v>
      </c>
      <c r="B174" s="6" t="str">
        <f t="shared" si="2"/>
        <v>ORD81753</v>
      </c>
      <c r="C174" s="23" t="s">
        <v>49</v>
      </c>
      <c r="D174" s="7">
        <v>45382</v>
      </c>
      <c r="E174" s="7">
        <v>45615</v>
      </c>
      <c r="F174" s="6" t="s">
        <v>321</v>
      </c>
      <c r="G174" s="6" t="s">
        <v>657</v>
      </c>
    </row>
    <row r="175" spans="1:7" ht="42.75" customHeight="1">
      <c r="A175" s="6" t="s">
        <v>658</v>
      </c>
      <c r="B175" s="6" t="str">
        <f t="shared" si="2"/>
        <v>ORD81754</v>
      </c>
      <c r="C175" s="23" t="s">
        <v>46</v>
      </c>
      <c r="D175" s="7">
        <v>45367</v>
      </c>
      <c r="E175" s="7">
        <v>45625</v>
      </c>
      <c r="F175" s="6" t="s">
        <v>321</v>
      </c>
      <c r="G175" s="6" t="s">
        <v>659</v>
      </c>
    </row>
    <row r="176" spans="1:7" ht="42.75" customHeight="1">
      <c r="A176" s="6" t="s">
        <v>660</v>
      </c>
      <c r="B176" s="6" t="str">
        <f t="shared" si="2"/>
        <v>ORD81755</v>
      </c>
      <c r="C176" s="23" t="s">
        <v>44</v>
      </c>
      <c r="D176" s="7">
        <v>45346</v>
      </c>
      <c r="E176" s="7">
        <v>45518</v>
      </c>
      <c r="F176" s="6" t="s">
        <v>321</v>
      </c>
      <c r="G176" s="6" t="s">
        <v>661</v>
      </c>
    </row>
    <row r="177" spans="1:7" ht="42.75" customHeight="1">
      <c r="A177" s="6" t="s">
        <v>662</v>
      </c>
      <c r="B177" s="6" t="str">
        <f t="shared" si="2"/>
        <v>ORD81756</v>
      </c>
      <c r="C177" s="23" t="s">
        <v>46</v>
      </c>
      <c r="D177" s="7">
        <v>45555</v>
      </c>
      <c r="E177" s="7">
        <v>45548</v>
      </c>
      <c r="F177" s="6" t="s">
        <v>321</v>
      </c>
      <c r="G177" s="6" t="s">
        <v>663</v>
      </c>
    </row>
    <row r="178" spans="1:7" ht="42.75" customHeight="1">
      <c r="A178" s="6" t="s">
        <v>664</v>
      </c>
      <c r="B178" s="6" t="str">
        <f t="shared" si="2"/>
        <v>ORD81757</v>
      </c>
      <c r="C178" s="23" t="s">
        <v>41</v>
      </c>
      <c r="D178" s="7">
        <v>45351</v>
      </c>
      <c r="E178" s="7">
        <v>45602</v>
      </c>
      <c r="F178" s="6" t="s">
        <v>321</v>
      </c>
      <c r="G178" s="6" t="s">
        <v>665</v>
      </c>
    </row>
    <row r="179" spans="1:7" ht="42.75" customHeight="1">
      <c r="A179" s="6" t="s">
        <v>666</v>
      </c>
      <c r="B179" s="6" t="str">
        <f t="shared" si="2"/>
        <v>ORD81758</v>
      </c>
      <c r="C179" s="23" t="s">
        <v>46</v>
      </c>
      <c r="D179" s="7">
        <v>45316</v>
      </c>
      <c r="E179" s="7">
        <v>45535</v>
      </c>
      <c r="F179" s="6" t="s">
        <v>321</v>
      </c>
      <c r="G179" s="6" t="s">
        <v>667</v>
      </c>
    </row>
    <row r="180" spans="1:7" ht="42.75" customHeight="1">
      <c r="A180" s="6" t="s">
        <v>668</v>
      </c>
      <c r="B180" s="6" t="str">
        <f t="shared" si="2"/>
        <v>ORD81759</v>
      </c>
      <c r="C180" s="23" t="s">
        <v>44</v>
      </c>
      <c r="D180" s="7">
        <v>45470</v>
      </c>
      <c r="E180" s="7">
        <v>45510</v>
      </c>
      <c r="F180" s="6" t="s">
        <v>321</v>
      </c>
      <c r="G180" s="6" t="s">
        <v>669</v>
      </c>
    </row>
    <row r="181" spans="1:7" ht="42.75" customHeight="1">
      <c r="A181" s="6" t="s">
        <v>670</v>
      </c>
      <c r="B181" s="6" t="str">
        <f t="shared" si="2"/>
        <v>ORD81760</v>
      </c>
      <c r="C181" s="23" t="s">
        <v>41</v>
      </c>
      <c r="D181" s="7">
        <v>45576</v>
      </c>
      <c r="E181" s="7">
        <v>45551</v>
      </c>
      <c r="F181" s="6" t="s">
        <v>303</v>
      </c>
      <c r="G181" s="6" t="s">
        <v>671</v>
      </c>
    </row>
    <row r="182" spans="1:7" ht="42.75" customHeight="1">
      <c r="A182" s="6" t="s">
        <v>672</v>
      </c>
      <c r="B182" s="6" t="str">
        <f t="shared" si="2"/>
        <v>ORD81761</v>
      </c>
      <c r="C182" s="23" t="s">
        <v>49</v>
      </c>
      <c r="D182" s="7">
        <v>45479</v>
      </c>
      <c r="E182" s="7">
        <v>45621</v>
      </c>
      <c r="F182" s="6" t="s">
        <v>321</v>
      </c>
      <c r="G182" s="6" t="s">
        <v>673</v>
      </c>
    </row>
    <row r="183" spans="1:7" ht="42.75" customHeight="1">
      <c r="A183" s="6" t="s">
        <v>674</v>
      </c>
      <c r="B183" s="6" t="str">
        <f t="shared" si="2"/>
        <v>ORD81762</v>
      </c>
      <c r="C183" s="23" t="s">
        <v>44</v>
      </c>
      <c r="D183" s="7">
        <v>45541</v>
      </c>
      <c r="E183" s="7">
        <v>45619</v>
      </c>
      <c r="F183" s="6" t="s">
        <v>321</v>
      </c>
      <c r="G183" s="6" t="s">
        <v>675</v>
      </c>
    </row>
    <row r="184" spans="1:7" ht="42.75" customHeight="1">
      <c r="A184" s="6" t="s">
        <v>676</v>
      </c>
      <c r="B184" s="6" t="str">
        <f t="shared" si="2"/>
        <v>ORD81763</v>
      </c>
      <c r="C184" s="23" t="s">
        <v>41</v>
      </c>
      <c r="D184" s="7">
        <v>45640</v>
      </c>
      <c r="E184" s="7">
        <v>45519</v>
      </c>
      <c r="F184" s="6" t="s">
        <v>303</v>
      </c>
      <c r="G184" s="6" t="s">
        <v>677</v>
      </c>
    </row>
    <row r="185" spans="1:7" ht="42.75" customHeight="1">
      <c r="A185" s="6" t="s">
        <v>678</v>
      </c>
      <c r="B185" s="6" t="str">
        <f t="shared" si="2"/>
        <v>ORD81764</v>
      </c>
      <c r="C185" s="23" t="s">
        <v>41</v>
      </c>
      <c r="D185" s="7">
        <v>45409</v>
      </c>
      <c r="E185" s="7">
        <v>45395</v>
      </c>
      <c r="F185" s="6" t="s">
        <v>321</v>
      </c>
      <c r="G185" s="6" t="s">
        <v>679</v>
      </c>
    </row>
    <row r="186" spans="1:7" ht="42.75" customHeight="1">
      <c r="A186" s="6" t="s">
        <v>680</v>
      </c>
      <c r="B186" s="6" t="str">
        <f t="shared" si="2"/>
        <v>ORD81765</v>
      </c>
      <c r="C186" s="23" t="s">
        <v>46</v>
      </c>
      <c r="D186" s="7">
        <v>45558</v>
      </c>
      <c r="E186" s="7">
        <v>45419</v>
      </c>
      <c r="F186" s="6" t="s">
        <v>318</v>
      </c>
      <c r="G186" s="6" t="s">
        <v>681</v>
      </c>
    </row>
    <row r="187" spans="1:7" ht="42.75" customHeight="1">
      <c r="A187" s="6" t="s">
        <v>682</v>
      </c>
      <c r="B187" s="6" t="str">
        <f t="shared" si="2"/>
        <v>ORD81766</v>
      </c>
      <c r="C187" s="23" t="s">
        <v>46</v>
      </c>
      <c r="D187" s="7">
        <v>45582</v>
      </c>
      <c r="E187" s="7">
        <v>45609</v>
      </c>
      <c r="F187" s="6" t="s">
        <v>321</v>
      </c>
      <c r="G187" s="6" t="s">
        <v>683</v>
      </c>
    </row>
    <row r="188" spans="1:7" ht="42.75" customHeight="1">
      <c r="A188" s="6" t="s">
        <v>684</v>
      </c>
      <c r="B188" s="6" t="str">
        <f t="shared" si="2"/>
        <v>ORD81767</v>
      </c>
      <c r="C188" s="23" t="s">
        <v>44</v>
      </c>
      <c r="D188" s="7">
        <v>45529</v>
      </c>
      <c r="E188" s="7">
        <v>45617</v>
      </c>
      <c r="F188" s="6" t="s">
        <v>321</v>
      </c>
      <c r="G188" s="6" t="s">
        <v>685</v>
      </c>
    </row>
    <row r="189" spans="1:7" ht="42.75" customHeight="1">
      <c r="A189" s="6" t="s">
        <v>686</v>
      </c>
      <c r="B189" s="6" t="str">
        <f t="shared" si="2"/>
        <v>ORD81768</v>
      </c>
      <c r="C189" s="23" t="s">
        <v>41</v>
      </c>
      <c r="D189" s="7">
        <v>45549</v>
      </c>
      <c r="E189" s="7">
        <v>45338</v>
      </c>
      <c r="F189" s="6" t="s">
        <v>321</v>
      </c>
      <c r="G189" s="6" t="s">
        <v>687</v>
      </c>
    </row>
    <row r="190" spans="1:7" ht="42.75" customHeight="1">
      <c r="A190" s="6" t="s">
        <v>688</v>
      </c>
      <c r="B190" s="6" t="str">
        <f t="shared" si="2"/>
        <v>ORD81769</v>
      </c>
      <c r="C190" s="23" t="s">
        <v>41</v>
      </c>
      <c r="D190" s="7">
        <v>45531</v>
      </c>
      <c r="E190" s="7">
        <v>45592</v>
      </c>
      <c r="F190" s="6" t="s">
        <v>303</v>
      </c>
      <c r="G190" s="6" t="s">
        <v>689</v>
      </c>
    </row>
    <row r="191" spans="1:7" ht="42.75" customHeight="1">
      <c r="A191" s="6" t="s">
        <v>690</v>
      </c>
      <c r="B191" s="6" t="str">
        <f t="shared" si="2"/>
        <v>ORD81770</v>
      </c>
      <c r="C191" s="23" t="s">
        <v>46</v>
      </c>
      <c r="D191" s="7">
        <v>45535</v>
      </c>
      <c r="E191" s="7">
        <v>45462</v>
      </c>
      <c r="F191" s="6" t="s">
        <v>321</v>
      </c>
      <c r="G191" s="6" t="s">
        <v>691</v>
      </c>
    </row>
    <row r="192" spans="1:7" ht="42.75" customHeight="1">
      <c r="A192" s="6" t="s">
        <v>692</v>
      </c>
      <c r="B192" s="6" t="str">
        <f t="shared" si="2"/>
        <v>ORD81771</v>
      </c>
      <c r="C192" s="23" t="s">
        <v>41</v>
      </c>
      <c r="D192" s="7">
        <v>45451</v>
      </c>
      <c r="E192" s="7">
        <v>45322</v>
      </c>
      <c r="F192" s="6" t="s">
        <v>321</v>
      </c>
      <c r="G192" s="6" t="s">
        <v>693</v>
      </c>
    </row>
    <row r="193" spans="1:7" ht="42.75" customHeight="1">
      <c r="A193" s="6" t="s">
        <v>694</v>
      </c>
      <c r="B193" s="6" t="str">
        <f t="shared" si="2"/>
        <v>ORD81772</v>
      </c>
      <c r="C193" s="23" t="s">
        <v>41</v>
      </c>
      <c r="D193" s="7">
        <v>45316</v>
      </c>
      <c r="E193" s="7">
        <v>45352</v>
      </c>
      <c r="F193" s="6" t="s">
        <v>321</v>
      </c>
      <c r="G193" s="6" t="s">
        <v>695</v>
      </c>
    </row>
    <row r="194" spans="1:7" ht="42.75" customHeight="1">
      <c r="A194" s="6" t="s">
        <v>696</v>
      </c>
      <c r="B194" s="6" t="str">
        <f t="shared" si="2"/>
        <v>ORD81773</v>
      </c>
      <c r="C194" s="23" t="s">
        <v>49</v>
      </c>
      <c r="D194" s="7">
        <v>45339</v>
      </c>
      <c r="E194" s="7">
        <v>45583</v>
      </c>
      <c r="F194" s="6" t="s">
        <v>318</v>
      </c>
      <c r="G194" s="6" t="s">
        <v>697</v>
      </c>
    </row>
    <row r="195" spans="1:7" ht="42.75" customHeight="1">
      <c r="A195" s="6" t="s">
        <v>698</v>
      </c>
      <c r="B195" s="6" t="str">
        <f t="shared" si="2"/>
        <v>ORD81774</v>
      </c>
      <c r="C195" s="23" t="s">
        <v>44</v>
      </c>
      <c r="D195" s="7">
        <v>45490</v>
      </c>
      <c r="E195" s="7">
        <v>45432</v>
      </c>
      <c r="F195" s="6" t="s">
        <v>321</v>
      </c>
      <c r="G195" s="6" t="s">
        <v>699</v>
      </c>
    </row>
    <row r="196" spans="1:7" ht="42.75" customHeight="1">
      <c r="A196" s="6" t="s">
        <v>700</v>
      </c>
      <c r="B196" s="6" t="str">
        <f t="shared" ref="B196:B251" si="3">"ORD" &amp; TEXT(RIGHT(B195,5) +1, "00000")</f>
        <v>ORD81775</v>
      </c>
      <c r="C196" s="23" t="s">
        <v>41</v>
      </c>
      <c r="D196" s="7">
        <v>45440</v>
      </c>
      <c r="E196" s="7">
        <v>45382</v>
      </c>
      <c r="F196" s="6" t="s">
        <v>321</v>
      </c>
      <c r="G196" s="6" t="s">
        <v>701</v>
      </c>
    </row>
    <row r="197" spans="1:7" ht="42.75" customHeight="1">
      <c r="A197" s="6" t="s">
        <v>702</v>
      </c>
      <c r="B197" s="6" t="str">
        <f t="shared" si="3"/>
        <v>ORD81776</v>
      </c>
      <c r="C197" s="23" t="s">
        <v>49</v>
      </c>
      <c r="D197" s="7">
        <v>45405</v>
      </c>
      <c r="E197" s="7">
        <v>45360</v>
      </c>
      <c r="F197" s="6" t="s">
        <v>318</v>
      </c>
      <c r="G197" s="6" t="s">
        <v>703</v>
      </c>
    </row>
    <row r="198" spans="1:7" ht="42.75" customHeight="1">
      <c r="A198" s="6" t="s">
        <v>704</v>
      </c>
      <c r="B198" s="6" t="str">
        <f t="shared" si="3"/>
        <v>ORD81777</v>
      </c>
      <c r="C198" s="23" t="s">
        <v>41</v>
      </c>
      <c r="D198" s="7">
        <v>45376</v>
      </c>
      <c r="E198" s="7">
        <v>45383</v>
      </c>
      <c r="F198" s="6" t="s">
        <v>303</v>
      </c>
      <c r="G198" s="6" t="s">
        <v>705</v>
      </c>
    </row>
    <row r="199" spans="1:7" ht="42.75" customHeight="1">
      <c r="A199" s="6" t="s">
        <v>706</v>
      </c>
      <c r="B199" s="6" t="str">
        <f t="shared" si="3"/>
        <v>ORD81778</v>
      </c>
      <c r="C199" s="23" t="s">
        <v>49</v>
      </c>
      <c r="D199" s="7">
        <v>45307</v>
      </c>
      <c r="E199" s="7">
        <v>45290</v>
      </c>
      <c r="F199" s="6" t="s">
        <v>303</v>
      </c>
      <c r="G199" s="6" t="s">
        <v>707</v>
      </c>
    </row>
    <row r="200" spans="1:7" ht="42.75" customHeight="1">
      <c r="A200" s="6" t="s">
        <v>708</v>
      </c>
      <c r="B200" s="6" t="str">
        <f t="shared" si="3"/>
        <v>ORD81779</v>
      </c>
      <c r="C200" s="23" t="s">
        <v>44</v>
      </c>
      <c r="D200" s="7">
        <v>45467</v>
      </c>
      <c r="E200" s="7">
        <v>45577</v>
      </c>
      <c r="F200" s="6" t="s">
        <v>321</v>
      </c>
      <c r="G200" s="6" t="s">
        <v>709</v>
      </c>
    </row>
    <row r="201" spans="1:7" ht="42.75" customHeight="1">
      <c r="A201" s="6" t="s">
        <v>710</v>
      </c>
      <c r="B201" s="6" t="str">
        <f t="shared" si="3"/>
        <v>ORD81780</v>
      </c>
      <c r="C201" s="23" t="s">
        <v>44</v>
      </c>
      <c r="D201" s="7">
        <v>45409</v>
      </c>
      <c r="E201" s="7">
        <v>45498</v>
      </c>
      <c r="F201" s="6" t="s">
        <v>303</v>
      </c>
      <c r="G201" s="6" t="s">
        <v>711</v>
      </c>
    </row>
    <row r="202" spans="1:7" ht="42.75" customHeight="1">
      <c r="A202" s="6" t="s">
        <v>712</v>
      </c>
      <c r="B202" s="6" t="str">
        <f t="shared" si="3"/>
        <v>ORD81781</v>
      </c>
      <c r="C202" s="23" t="s">
        <v>44</v>
      </c>
      <c r="D202" s="7">
        <v>45378</v>
      </c>
      <c r="E202" s="7">
        <v>45490</v>
      </c>
      <c r="F202" s="6" t="s">
        <v>318</v>
      </c>
      <c r="G202" s="6" t="s">
        <v>322</v>
      </c>
    </row>
    <row r="203" spans="1:7" ht="42.75" customHeight="1">
      <c r="A203" s="6" t="s">
        <v>713</v>
      </c>
      <c r="B203" s="6" t="str">
        <f t="shared" si="3"/>
        <v>ORD81782</v>
      </c>
      <c r="C203" s="23" t="s">
        <v>41</v>
      </c>
      <c r="D203" s="7">
        <v>45296</v>
      </c>
      <c r="E203" s="7">
        <v>45330</v>
      </c>
      <c r="F203" s="6" t="s">
        <v>318</v>
      </c>
      <c r="G203" s="6" t="s">
        <v>714</v>
      </c>
    </row>
    <row r="204" spans="1:7" ht="42.75" customHeight="1">
      <c r="A204" s="6" t="s">
        <v>715</v>
      </c>
      <c r="B204" s="6" t="str">
        <f t="shared" si="3"/>
        <v>ORD81783</v>
      </c>
      <c r="C204" s="23" t="s">
        <v>49</v>
      </c>
      <c r="D204" s="7">
        <v>45316</v>
      </c>
      <c r="E204" s="7">
        <v>45589</v>
      </c>
      <c r="F204" s="6" t="s">
        <v>318</v>
      </c>
      <c r="G204" s="6" t="s">
        <v>716</v>
      </c>
    </row>
    <row r="205" spans="1:7" ht="42.75" customHeight="1">
      <c r="A205" s="6" t="s">
        <v>717</v>
      </c>
      <c r="B205" s="6" t="str">
        <f t="shared" si="3"/>
        <v>ORD81784</v>
      </c>
      <c r="C205" s="23" t="s">
        <v>44</v>
      </c>
      <c r="D205" s="7">
        <v>45326</v>
      </c>
      <c r="E205" s="7">
        <v>45602</v>
      </c>
      <c r="F205" s="6" t="s">
        <v>321</v>
      </c>
      <c r="G205" s="6" t="s">
        <v>718</v>
      </c>
    </row>
    <row r="206" spans="1:7" ht="42.75" customHeight="1">
      <c r="A206" s="6" t="s">
        <v>719</v>
      </c>
      <c r="B206" s="6" t="str">
        <f t="shared" si="3"/>
        <v>ORD81785</v>
      </c>
      <c r="C206" s="23" t="s">
        <v>49</v>
      </c>
      <c r="D206" s="7">
        <v>45489</v>
      </c>
      <c r="E206" s="7">
        <v>45328</v>
      </c>
      <c r="F206" s="6" t="s">
        <v>321</v>
      </c>
      <c r="G206" s="6" t="s">
        <v>655</v>
      </c>
    </row>
    <row r="207" spans="1:7" ht="42.75" customHeight="1">
      <c r="A207" s="6" t="s">
        <v>720</v>
      </c>
      <c r="B207" s="6" t="str">
        <f t="shared" si="3"/>
        <v>ORD81786</v>
      </c>
      <c r="C207" s="23" t="s">
        <v>41</v>
      </c>
      <c r="D207" s="7">
        <v>45438</v>
      </c>
      <c r="E207" s="7">
        <v>45604</v>
      </c>
      <c r="F207" s="6" t="s">
        <v>321</v>
      </c>
      <c r="G207" s="6" t="s">
        <v>721</v>
      </c>
    </row>
    <row r="208" spans="1:7" ht="42.75" customHeight="1">
      <c r="A208" s="6" t="s">
        <v>722</v>
      </c>
      <c r="B208" s="6" t="str">
        <f t="shared" si="3"/>
        <v>ORD81787</v>
      </c>
      <c r="C208" s="23" t="s">
        <v>46</v>
      </c>
      <c r="D208" s="7">
        <v>45556</v>
      </c>
      <c r="E208" s="7">
        <v>45633</v>
      </c>
      <c r="F208" s="6" t="s">
        <v>321</v>
      </c>
      <c r="G208" s="6" t="s">
        <v>723</v>
      </c>
    </row>
    <row r="209" spans="1:7" ht="42.75" customHeight="1">
      <c r="A209" s="6" t="s">
        <v>724</v>
      </c>
      <c r="B209" s="6" t="str">
        <f t="shared" si="3"/>
        <v>ORD81788</v>
      </c>
      <c r="C209" s="23" t="s">
        <v>44</v>
      </c>
      <c r="D209" s="7">
        <v>45504</v>
      </c>
      <c r="E209" s="7">
        <v>45394</v>
      </c>
      <c r="F209" s="6" t="s">
        <v>303</v>
      </c>
      <c r="G209" s="6" t="s">
        <v>725</v>
      </c>
    </row>
    <row r="210" spans="1:7" ht="42.75" customHeight="1">
      <c r="A210" s="6" t="s">
        <v>726</v>
      </c>
      <c r="B210" s="6" t="str">
        <f t="shared" si="3"/>
        <v>ORD81789</v>
      </c>
      <c r="C210" s="23" t="s">
        <v>44</v>
      </c>
      <c r="D210" s="7">
        <v>45488</v>
      </c>
      <c r="E210" s="7">
        <v>45588</v>
      </c>
      <c r="F210" s="6" t="s">
        <v>303</v>
      </c>
      <c r="G210" s="6" t="s">
        <v>727</v>
      </c>
    </row>
    <row r="211" spans="1:7" ht="42.75" customHeight="1">
      <c r="A211" s="6" t="s">
        <v>728</v>
      </c>
      <c r="B211" s="6" t="str">
        <f t="shared" si="3"/>
        <v>ORD81790</v>
      </c>
      <c r="C211" s="23" t="s">
        <v>44</v>
      </c>
      <c r="D211" s="7">
        <v>45628</v>
      </c>
      <c r="E211" s="7">
        <v>45381</v>
      </c>
      <c r="F211" s="6" t="s">
        <v>321</v>
      </c>
      <c r="G211" s="6" t="s">
        <v>729</v>
      </c>
    </row>
    <row r="212" spans="1:7" ht="42.75" customHeight="1">
      <c r="A212" s="6" t="s">
        <v>730</v>
      </c>
      <c r="B212" s="6" t="str">
        <f t="shared" si="3"/>
        <v>ORD81791</v>
      </c>
      <c r="C212" s="23" t="s">
        <v>46</v>
      </c>
      <c r="D212" s="7">
        <v>45367</v>
      </c>
      <c r="E212" s="7">
        <v>45385</v>
      </c>
      <c r="F212" s="6" t="s">
        <v>321</v>
      </c>
      <c r="G212" s="6" t="s">
        <v>731</v>
      </c>
    </row>
    <row r="213" spans="1:7" ht="42.75" customHeight="1">
      <c r="A213" s="6" t="s">
        <v>732</v>
      </c>
      <c r="B213" s="6" t="str">
        <f t="shared" si="3"/>
        <v>ORD81792</v>
      </c>
      <c r="C213" s="23" t="s">
        <v>44</v>
      </c>
      <c r="D213" s="7">
        <v>45637</v>
      </c>
      <c r="E213" s="7">
        <v>45448</v>
      </c>
      <c r="F213" s="6" t="s">
        <v>303</v>
      </c>
      <c r="G213" s="6" t="s">
        <v>733</v>
      </c>
    </row>
    <row r="214" spans="1:7" ht="42.75" customHeight="1">
      <c r="A214" s="6" t="s">
        <v>734</v>
      </c>
      <c r="B214" s="6" t="str">
        <f t="shared" si="3"/>
        <v>ORD81793</v>
      </c>
      <c r="C214" s="23" t="s">
        <v>41</v>
      </c>
      <c r="D214" s="7">
        <v>45367</v>
      </c>
      <c r="E214" s="7">
        <v>45391</v>
      </c>
      <c r="F214" s="6" t="s">
        <v>303</v>
      </c>
      <c r="G214" s="6" t="s">
        <v>735</v>
      </c>
    </row>
    <row r="215" spans="1:7" ht="42.75" customHeight="1">
      <c r="A215" s="6" t="s">
        <v>736</v>
      </c>
      <c r="B215" s="6" t="str">
        <f t="shared" si="3"/>
        <v>ORD81794</v>
      </c>
      <c r="C215" s="23" t="s">
        <v>44</v>
      </c>
      <c r="D215" s="7">
        <v>45608</v>
      </c>
      <c r="E215" s="7">
        <v>45434</v>
      </c>
      <c r="F215" s="6" t="s">
        <v>321</v>
      </c>
      <c r="G215" s="6" t="s">
        <v>737</v>
      </c>
    </row>
    <row r="216" spans="1:7" ht="42.75" customHeight="1">
      <c r="A216" s="6" t="s">
        <v>738</v>
      </c>
      <c r="B216" s="6" t="str">
        <f t="shared" si="3"/>
        <v>ORD81795</v>
      </c>
      <c r="C216" s="23" t="s">
        <v>49</v>
      </c>
      <c r="D216" s="7">
        <v>45402</v>
      </c>
      <c r="E216" s="7">
        <v>45631</v>
      </c>
      <c r="F216" s="6" t="s">
        <v>318</v>
      </c>
      <c r="G216" s="6" t="s">
        <v>739</v>
      </c>
    </row>
    <row r="217" spans="1:7" ht="42.75" customHeight="1">
      <c r="A217" s="6" t="s">
        <v>740</v>
      </c>
      <c r="B217" s="6" t="str">
        <f t="shared" si="3"/>
        <v>ORD81796</v>
      </c>
      <c r="C217" s="23" t="s">
        <v>49</v>
      </c>
      <c r="D217" s="7">
        <v>45613</v>
      </c>
      <c r="E217" s="7">
        <v>45618</v>
      </c>
      <c r="F217" s="6" t="s">
        <v>303</v>
      </c>
      <c r="G217" s="6" t="s">
        <v>741</v>
      </c>
    </row>
    <row r="218" spans="1:7" ht="42.75" customHeight="1">
      <c r="A218" s="6" t="s">
        <v>742</v>
      </c>
      <c r="B218" s="6" t="str">
        <f t="shared" si="3"/>
        <v>ORD81797</v>
      </c>
      <c r="C218" s="23" t="s">
        <v>41</v>
      </c>
      <c r="D218" s="7">
        <v>45283</v>
      </c>
      <c r="E218" s="7">
        <v>45631</v>
      </c>
      <c r="F218" s="6" t="s">
        <v>321</v>
      </c>
      <c r="G218" s="6" t="s">
        <v>743</v>
      </c>
    </row>
    <row r="219" spans="1:7" ht="42.75" customHeight="1">
      <c r="A219" s="6" t="s">
        <v>744</v>
      </c>
      <c r="B219" s="6" t="str">
        <f t="shared" si="3"/>
        <v>ORD81798</v>
      </c>
      <c r="C219" s="23" t="s">
        <v>46</v>
      </c>
      <c r="D219" s="7">
        <v>45472</v>
      </c>
      <c r="E219" s="7">
        <v>45525</v>
      </c>
      <c r="F219" s="6" t="s">
        <v>303</v>
      </c>
      <c r="G219" s="6" t="s">
        <v>745</v>
      </c>
    </row>
    <row r="220" spans="1:7" ht="42.75" customHeight="1">
      <c r="A220" s="6" t="s">
        <v>746</v>
      </c>
      <c r="B220" s="6" t="str">
        <f t="shared" si="3"/>
        <v>ORD81799</v>
      </c>
      <c r="C220" s="23" t="s">
        <v>41</v>
      </c>
      <c r="D220" s="7">
        <v>45368</v>
      </c>
      <c r="E220" s="7">
        <v>45462</v>
      </c>
      <c r="F220" s="6" t="s">
        <v>318</v>
      </c>
      <c r="G220" s="6" t="s">
        <v>747</v>
      </c>
    </row>
    <row r="221" spans="1:7" ht="42.75" customHeight="1">
      <c r="A221" s="6" t="s">
        <v>748</v>
      </c>
      <c r="B221" s="6" t="str">
        <f t="shared" si="3"/>
        <v>ORD81800</v>
      </c>
      <c r="C221" s="23" t="s">
        <v>41</v>
      </c>
      <c r="D221" s="7">
        <v>45363</v>
      </c>
      <c r="E221" s="7">
        <v>45295</v>
      </c>
      <c r="F221" s="6" t="s">
        <v>321</v>
      </c>
      <c r="G221" s="6" t="s">
        <v>749</v>
      </c>
    </row>
    <row r="222" spans="1:7" ht="42.75" customHeight="1">
      <c r="A222" s="6" t="s">
        <v>750</v>
      </c>
      <c r="B222" s="6" t="str">
        <f t="shared" si="3"/>
        <v>ORD81801</v>
      </c>
      <c r="C222" s="23" t="s">
        <v>41</v>
      </c>
      <c r="D222" s="7">
        <v>45624</v>
      </c>
      <c r="E222" s="7">
        <v>45430</v>
      </c>
      <c r="F222" s="6" t="s">
        <v>318</v>
      </c>
      <c r="G222" s="6" t="s">
        <v>751</v>
      </c>
    </row>
    <row r="223" spans="1:7" ht="42.75" customHeight="1">
      <c r="A223" s="6" t="s">
        <v>752</v>
      </c>
      <c r="B223" s="6" t="str">
        <f t="shared" si="3"/>
        <v>ORD81802</v>
      </c>
      <c r="C223" s="23" t="s">
        <v>49</v>
      </c>
      <c r="D223" s="7">
        <v>45525</v>
      </c>
      <c r="E223" s="7">
        <v>45563</v>
      </c>
      <c r="F223" s="6" t="s">
        <v>321</v>
      </c>
      <c r="G223" s="6" t="s">
        <v>753</v>
      </c>
    </row>
    <row r="224" spans="1:7" ht="42.75" customHeight="1">
      <c r="A224" s="6" t="s">
        <v>754</v>
      </c>
      <c r="B224" s="6" t="str">
        <f t="shared" si="3"/>
        <v>ORD81803</v>
      </c>
      <c r="C224" s="23" t="s">
        <v>41</v>
      </c>
      <c r="D224" s="7">
        <v>45356</v>
      </c>
      <c r="E224" s="7">
        <v>45291</v>
      </c>
      <c r="F224" s="6" t="s">
        <v>303</v>
      </c>
      <c r="G224" s="6" t="s">
        <v>755</v>
      </c>
    </row>
    <row r="225" spans="1:7" ht="42.75" customHeight="1">
      <c r="A225" s="6" t="s">
        <v>756</v>
      </c>
      <c r="B225" s="6" t="str">
        <f t="shared" si="3"/>
        <v>ORD81804</v>
      </c>
      <c r="C225" s="23" t="s">
        <v>41</v>
      </c>
      <c r="D225" s="7">
        <v>45626</v>
      </c>
      <c r="E225" s="7">
        <v>45602</v>
      </c>
      <c r="F225" s="6" t="s">
        <v>321</v>
      </c>
      <c r="G225" s="6" t="s">
        <v>757</v>
      </c>
    </row>
    <row r="226" spans="1:7" ht="42.75" customHeight="1">
      <c r="A226" s="6" t="s">
        <v>758</v>
      </c>
      <c r="B226" s="6" t="str">
        <f t="shared" si="3"/>
        <v>ORD81805</v>
      </c>
      <c r="C226" s="23" t="s">
        <v>46</v>
      </c>
      <c r="D226" s="7">
        <v>45280</v>
      </c>
      <c r="E226" s="7">
        <v>45631</v>
      </c>
      <c r="F226" s="6" t="s">
        <v>318</v>
      </c>
      <c r="G226" s="6" t="s">
        <v>759</v>
      </c>
    </row>
    <row r="227" spans="1:7" ht="42.75" customHeight="1">
      <c r="A227" s="6" t="s">
        <v>760</v>
      </c>
      <c r="B227" s="6" t="str">
        <f t="shared" si="3"/>
        <v>ORD81806</v>
      </c>
      <c r="C227" s="23" t="s">
        <v>49</v>
      </c>
      <c r="D227" s="7">
        <v>45381</v>
      </c>
      <c r="E227" s="7">
        <v>45303</v>
      </c>
      <c r="F227" s="6" t="s">
        <v>318</v>
      </c>
      <c r="G227" s="6" t="s">
        <v>761</v>
      </c>
    </row>
    <row r="228" spans="1:7" ht="42.75" customHeight="1">
      <c r="A228" s="6" t="s">
        <v>762</v>
      </c>
      <c r="B228" s="6" t="str">
        <f t="shared" si="3"/>
        <v>ORD81807</v>
      </c>
      <c r="C228" s="23" t="s">
        <v>46</v>
      </c>
      <c r="D228" s="7">
        <v>45286</v>
      </c>
      <c r="E228" s="7">
        <v>45452</v>
      </c>
      <c r="F228" s="6" t="s">
        <v>303</v>
      </c>
      <c r="G228" s="6" t="s">
        <v>763</v>
      </c>
    </row>
    <row r="229" spans="1:7" ht="42.75" customHeight="1">
      <c r="A229" s="6" t="s">
        <v>764</v>
      </c>
      <c r="B229" s="6" t="str">
        <f t="shared" si="3"/>
        <v>ORD81808</v>
      </c>
      <c r="C229" s="23" t="s">
        <v>44</v>
      </c>
      <c r="D229" s="7">
        <v>45333</v>
      </c>
      <c r="E229" s="7">
        <v>45308</v>
      </c>
      <c r="F229" s="6" t="s">
        <v>303</v>
      </c>
      <c r="G229" s="6" t="s">
        <v>765</v>
      </c>
    </row>
    <row r="230" spans="1:7" ht="42.75" customHeight="1">
      <c r="A230" s="6" t="s">
        <v>766</v>
      </c>
      <c r="B230" s="6" t="str">
        <f t="shared" si="3"/>
        <v>ORD81809</v>
      </c>
      <c r="C230" s="23" t="s">
        <v>46</v>
      </c>
      <c r="D230" s="7">
        <v>45455</v>
      </c>
      <c r="E230" s="7">
        <v>45589</v>
      </c>
      <c r="F230" s="6" t="s">
        <v>318</v>
      </c>
      <c r="G230" s="6" t="s">
        <v>767</v>
      </c>
    </row>
    <row r="231" spans="1:7" ht="42.75" customHeight="1">
      <c r="A231" s="6" t="s">
        <v>768</v>
      </c>
      <c r="B231" s="6" t="str">
        <f t="shared" si="3"/>
        <v>ORD81810</v>
      </c>
      <c r="C231" s="23" t="s">
        <v>49</v>
      </c>
      <c r="D231" s="7">
        <v>45488</v>
      </c>
      <c r="E231" s="7">
        <v>45523</v>
      </c>
      <c r="F231" s="6" t="s">
        <v>318</v>
      </c>
      <c r="G231" s="6" t="s">
        <v>769</v>
      </c>
    </row>
    <row r="232" spans="1:7" ht="42.75" customHeight="1">
      <c r="A232" s="6" t="s">
        <v>770</v>
      </c>
      <c r="B232" s="6" t="str">
        <f t="shared" si="3"/>
        <v>ORD81811</v>
      </c>
      <c r="C232" s="23" t="s">
        <v>41</v>
      </c>
      <c r="D232" s="7">
        <v>45541</v>
      </c>
      <c r="E232" s="7">
        <v>45313</v>
      </c>
      <c r="F232" s="6" t="s">
        <v>303</v>
      </c>
      <c r="G232" s="6" t="s">
        <v>771</v>
      </c>
    </row>
    <row r="233" spans="1:7" ht="42.75" customHeight="1">
      <c r="A233" s="6" t="s">
        <v>772</v>
      </c>
      <c r="B233" s="6" t="str">
        <f t="shared" si="3"/>
        <v>ORD81812</v>
      </c>
      <c r="C233" s="23" t="s">
        <v>44</v>
      </c>
      <c r="D233" s="7">
        <v>45461</v>
      </c>
      <c r="E233" s="7">
        <v>45278</v>
      </c>
      <c r="F233" s="6" t="s">
        <v>318</v>
      </c>
      <c r="G233" s="6" t="s">
        <v>773</v>
      </c>
    </row>
    <row r="234" spans="1:7" ht="42.75" customHeight="1">
      <c r="A234" s="6" t="s">
        <v>774</v>
      </c>
      <c r="B234" s="6" t="str">
        <f t="shared" si="3"/>
        <v>ORD81813</v>
      </c>
      <c r="C234" s="23" t="s">
        <v>49</v>
      </c>
      <c r="D234" s="7">
        <v>45356</v>
      </c>
      <c r="E234" s="7">
        <v>45298</v>
      </c>
      <c r="F234" s="6" t="s">
        <v>318</v>
      </c>
      <c r="G234" s="6" t="s">
        <v>775</v>
      </c>
    </row>
    <row r="235" spans="1:7" ht="42.75" customHeight="1">
      <c r="A235" s="6" t="s">
        <v>776</v>
      </c>
      <c r="B235" s="6" t="str">
        <f t="shared" si="3"/>
        <v>ORD81814</v>
      </c>
      <c r="C235" s="23" t="s">
        <v>46</v>
      </c>
      <c r="D235" s="7">
        <v>45406</v>
      </c>
      <c r="E235" s="7">
        <v>45541</v>
      </c>
      <c r="F235" s="6" t="s">
        <v>303</v>
      </c>
      <c r="G235" s="6" t="s">
        <v>777</v>
      </c>
    </row>
    <row r="236" spans="1:7" ht="42.75" customHeight="1">
      <c r="A236" s="6" t="s">
        <v>778</v>
      </c>
      <c r="B236" s="6" t="str">
        <f t="shared" si="3"/>
        <v>ORD81815</v>
      </c>
      <c r="C236" s="23" t="s">
        <v>49</v>
      </c>
      <c r="D236" s="7">
        <v>45349</v>
      </c>
      <c r="E236" s="7">
        <v>45443</v>
      </c>
      <c r="F236" s="6" t="s">
        <v>318</v>
      </c>
      <c r="G236" s="6" t="s">
        <v>779</v>
      </c>
    </row>
    <row r="237" spans="1:7" ht="42.75" customHeight="1">
      <c r="A237" s="6" t="s">
        <v>780</v>
      </c>
      <c r="B237" s="6" t="str">
        <f t="shared" si="3"/>
        <v>ORD81816</v>
      </c>
      <c r="C237" s="23" t="s">
        <v>49</v>
      </c>
      <c r="D237" s="7">
        <v>45505</v>
      </c>
      <c r="E237" s="7">
        <v>45517</v>
      </c>
      <c r="F237" s="6" t="s">
        <v>321</v>
      </c>
      <c r="G237" s="6" t="s">
        <v>781</v>
      </c>
    </row>
    <row r="238" spans="1:7" ht="42.75" customHeight="1">
      <c r="A238" s="6" t="s">
        <v>782</v>
      </c>
      <c r="B238" s="6" t="str">
        <f t="shared" si="3"/>
        <v>ORD81817</v>
      </c>
      <c r="C238" s="23" t="s">
        <v>41</v>
      </c>
      <c r="D238" s="7">
        <v>45514</v>
      </c>
      <c r="E238" s="7">
        <v>45413</v>
      </c>
      <c r="F238" s="6" t="s">
        <v>303</v>
      </c>
      <c r="G238" s="6" t="s">
        <v>783</v>
      </c>
    </row>
    <row r="239" spans="1:7" ht="42.75" customHeight="1">
      <c r="A239" s="6" t="s">
        <v>784</v>
      </c>
      <c r="B239" s="6" t="str">
        <f t="shared" si="3"/>
        <v>ORD81818</v>
      </c>
      <c r="C239" s="23" t="s">
        <v>41</v>
      </c>
      <c r="D239" s="7">
        <v>45390</v>
      </c>
      <c r="E239" s="7">
        <v>45585</v>
      </c>
      <c r="F239" s="6" t="s">
        <v>321</v>
      </c>
      <c r="G239" s="6" t="s">
        <v>785</v>
      </c>
    </row>
    <row r="240" spans="1:7" ht="42.75" customHeight="1">
      <c r="A240" s="6" t="s">
        <v>786</v>
      </c>
      <c r="B240" s="6" t="str">
        <f t="shared" si="3"/>
        <v>ORD81819</v>
      </c>
      <c r="C240" s="23" t="s">
        <v>41</v>
      </c>
      <c r="D240" s="7">
        <v>45479</v>
      </c>
      <c r="E240" s="7">
        <v>45461</v>
      </c>
      <c r="F240" s="6" t="s">
        <v>303</v>
      </c>
      <c r="G240" s="6" t="s">
        <v>787</v>
      </c>
    </row>
    <row r="241" spans="1:7" ht="42.75" customHeight="1">
      <c r="A241" s="6" t="s">
        <v>788</v>
      </c>
      <c r="B241" s="6" t="str">
        <f t="shared" si="3"/>
        <v>ORD81820</v>
      </c>
      <c r="C241" s="23" t="s">
        <v>41</v>
      </c>
      <c r="D241" s="7">
        <v>45291</v>
      </c>
      <c r="E241" s="7">
        <v>45568</v>
      </c>
      <c r="F241" s="6" t="s">
        <v>303</v>
      </c>
      <c r="G241" s="6" t="s">
        <v>789</v>
      </c>
    </row>
    <row r="242" spans="1:7" ht="42.75" customHeight="1">
      <c r="A242" s="6" t="s">
        <v>790</v>
      </c>
      <c r="B242" s="6" t="str">
        <f t="shared" si="3"/>
        <v>ORD81821</v>
      </c>
      <c r="C242" s="23" t="s">
        <v>49</v>
      </c>
      <c r="D242" s="7">
        <v>45574</v>
      </c>
      <c r="E242" s="7">
        <v>45485</v>
      </c>
      <c r="F242" s="6" t="s">
        <v>318</v>
      </c>
      <c r="G242" s="6" t="s">
        <v>791</v>
      </c>
    </row>
    <row r="243" spans="1:7" ht="42.75" customHeight="1">
      <c r="A243" s="6" t="s">
        <v>792</v>
      </c>
      <c r="B243" s="6" t="str">
        <f t="shared" si="3"/>
        <v>ORD81822</v>
      </c>
      <c r="C243" s="23" t="s">
        <v>44</v>
      </c>
      <c r="D243" s="7">
        <v>45620</v>
      </c>
      <c r="E243" s="7">
        <v>45591</v>
      </c>
      <c r="F243" s="6" t="s">
        <v>303</v>
      </c>
      <c r="G243" s="6" t="s">
        <v>793</v>
      </c>
    </row>
    <row r="244" spans="1:7" ht="42.75" customHeight="1">
      <c r="A244" s="6" t="s">
        <v>794</v>
      </c>
      <c r="B244" s="6" t="str">
        <f t="shared" si="3"/>
        <v>ORD81823</v>
      </c>
      <c r="C244" s="23" t="s">
        <v>46</v>
      </c>
      <c r="D244" s="7">
        <v>45550</v>
      </c>
      <c r="E244" s="7">
        <v>45601</v>
      </c>
      <c r="F244" s="6" t="s">
        <v>321</v>
      </c>
      <c r="G244" s="6" t="s">
        <v>795</v>
      </c>
    </row>
    <row r="245" spans="1:7" ht="42.75" customHeight="1">
      <c r="A245" s="6" t="s">
        <v>796</v>
      </c>
      <c r="B245" s="6" t="str">
        <f t="shared" si="3"/>
        <v>ORD81824</v>
      </c>
      <c r="C245" s="23" t="s">
        <v>44</v>
      </c>
      <c r="D245" s="7">
        <v>45419</v>
      </c>
      <c r="E245" s="7">
        <v>45453</v>
      </c>
      <c r="F245" s="6" t="s">
        <v>318</v>
      </c>
      <c r="G245" s="6" t="s">
        <v>797</v>
      </c>
    </row>
    <row r="246" spans="1:7" ht="42.75" customHeight="1">
      <c r="A246" s="6" t="s">
        <v>798</v>
      </c>
      <c r="B246" s="6" t="str">
        <f t="shared" si="3"/>
        <v>ORD81825</v>
      </c>
      <c r="C246" s="23" t="s">
        <v>44</v>
      </c>
      <c r="D246" s="7">
        <v>45459</v>
      </c>
      <c r="E246" s="7">
        <v>45404</v>
      </c>
      <c r="F246" s="6" t="s">
        <v>321</v>
      </c>
      <c r="G246" s="6" t="s">
        <v>799</v>
      </c>
    </row>
    <row r="247" spans="1:7" ht="42.75" customHeight="1">
      <c r="A247" s="6" t="s">
        <v>800</v>
      </c>
      <c r="B247" s="6" t="str">
        <f t="shared" si="3"/>
        <v>ORD81826</v>
      </c>
      <c r="C247" s="23" t="s">
        <v>49</v>
      </c>
      <c r="D247" s="7">
        <v>45341</v>
      </c>
      <c r="E247" s="7">
        <v>45477</v>
      </c>
      <c r="F247" s="6" t="s">
        <v>321</v>
      </c>
      <c r="G247" s="6" t="s">
        <v>801</v>
      </c>
    </row>
    <row r="248" spans="1:7" ht="42.75" customHeight="1">
      <c r="A248" s="6" t="s">
        <v>802</v>
      </c>
      <c r="B248" s="6" t="str">
        <f t="shared" si="3"/>
        <v>ORD81827</v>
      </c>
      <c r="C248" s="23" t="s">
        <v>44</v>
      </c>
      <c r="D248" s="7">
        <v>45456</v>
      </c>
      <c r="E248" s="7">
        <v>45583</v>
      </c>
      <c r="F248" s="6" t="s">
        <v>318</v>
      </c>
      <c r="G248" s="6" t="s">
        <v>803</v>
      </c>
    </row>
    <row r="249" spans="1:7" ht="42.75" customHeight="1">
      <c r="A249" s="6" t="s">
        <v>804</v>
      </c>
      <c r="B249" s="6" t="str">
        <f t="shared" si="3"/>
        <v>ORD81828</v>
      </c>
      <c r="C249" s="23" t="s">
        <v>44</v>
      </c>
      <c r="D249" s="7">
        <v>45404</v>
      </c>
      <c r="E249" s="7">
        <v>45581</v>
      </c>
      <c r="F249" s="6" t="s">
        <v>318</v>
      </c>
      <c r="G249" s="6" t="s">
        <v>805</v>
      </c>
    </row>
    <row r="250" spans="1:7" ht="42.75" customHeight="1">
      <c r="A250" s="6" t="s">
        <v>806</v>
      </c>
      <c r="B250" s="6" t="str">
        <f t="shared" si="3"/>
        <v>ORD81829</v>
      </c>
      <c r="C250" s="23" t="s">
        <v>41</v>
      </c>
      <c r="D250" s="7">
        <v>45288</v>
      </c>
      <c r="E250" s="7">
        <v>45466</v>
      </c>
      <c r="F250" s="6" t="s">
        <v>321</v>
      </c>
      <c r="G250" s="6" t="s">
        <v>807</v>
      </c>
    </row>
    <row r="251" spans="1:7" ht="42.75" customHeight="1">
      <c r="A251" s="6" t="s">
        <v>808</v>
      </c>
      <c r="B251" s="6" t="str">
        <f t="shared" si="3"/>
        <v>ORD81830</v>
      </c>
      <c r="C251" s="23" t="s">
        <v>41</v>
      </c>
      <c r="D251" s="7">
        <v>45362</v>
      </c>
      <c r="E251" s="7">
        <v>45478</v>
      </c>
      <c r="F251" s="6" t="s">
        <v>321</v>
      </c>
      <c r="G251" s="6" t="s">
        <v>809</v>
      </c>
    </row>
  </sheetData>
  <conditionalFormatting sqref="B252:B1048576">
    <cfRule type="duplicateValues" dxfId="2" priority="6"/>
  </conditionalFormatting>
  <conditionalFormatting sqref="C252:C1048576">
    <cfRule type="duplicateValues" dxfId="1" priority="5"/>
  </conditionalFormatting>
  <conditionalFormatting sqref="B1:B25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Mohit Kumar</cp:lastModifiedBy>
  <cp:revision/>
  <dcterms:created xsi:type="dcterms:W3CDTF">2024-12-18T12:06:56Z</dcterms:created>
  <dcterms:modified xsi:type="dcterms:W3CDTF">2024-12-18T22:36:37Z</dcterms:modified>
  <cp:category/>
  <cp:contentStatus/>
</cp:coreProperties>
</file>